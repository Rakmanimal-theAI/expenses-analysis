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8_{C0BA5DC1-540B-4271-83C4-349835D1936C}" xr6:coauthVersionLast="47" xr6:coauthVersionMax="47" xr10:uidLastSave="{00000000-0000-0000-0000-000000000000}"/>
  <bookViews>
    <workbookView xWindow="-108" yWindow="-108" windowWidth="23256" windowHeight="12456" firstSheet="1" activeTab="1" xr2:uid="{8843059F-E9E1-4112-95FF-58341B374B52}"/>
  </bookViews>
  <sheets>
    <sheet name="power-query" sheetId="2" r:id="rId1"/>
    <sheet name="Category" sheetId="5" r:id="rId2"/>
    <sheet name="Monthly" sheetId="7" r:id="rId3"/>
    <sheet name="category-mapping-table" sheetId="3" r:id="rId4"/>
    <sheet name="category-mapping" sheetId="1" r:id="rId5"/>
  </sheets>
  <definedNames>
    <definedName name="DonnéesExternes_1" localSheetId="3" hidden="1">'category-mapping-table'!$A$1:$B$41</definedName>
    <definedName name="DonnéesExternes_1" localSheetId="0" hidden="1">'power-query'!$A$1:$O$200</definedName>
    <definedName name="FromArray_1">_xlfn.ANCHORARRAY('category-mapping'!$A$1)</definedName>
  </definedNames>
  <calcPr calcId="191029"/>
  <pivotCaches>
    <pivotCache cacheId="9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83EF2-E19A-4F5A-B71D-321E6694E5FD}" keepAlive="1" name="Requête - files" description="Connexion à la requête « files » dans le classeur." type="5" refreshedVersion="8" background="1" saveData="1">
    <dbPr connection="Provider=Microsoft.Mashup.OleDb.1;Data Source=$Workbook$;Location=files;Extended Properties=&quot;&quot;" command="SELECT * FROM [files]"/>
  </connection>
  <connection id="2" xr16:uid="{258F76BE-4968-41AE-B8DE-262688939768}" keepAlive="1" name="Requête - Tableau3" description="Connexion à la requête « Tableau3 » dans le classeur." type="5" refreshedVersion="8" background="1" saveData="1">
    <dbPr connection="Provider=Microsoft.Mashup.OleDb.1;Data Source=$Workbook$;Location=Tableau3;Extended Properties=&quot;&quot;" command="SELECT * FROM [Tableau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<sst xmlns="http://schemas.openxmlformats.org/spreadsheetml/2006/main" count="1653" uniqueCount="438">
  <si>
    <t>Merchant</t>
  </si>
  <si>
    <t>Category</t>
  </si>
  <si>
    <t>Subcategory</t>
  </si>
  <si>
    <t>Description</t>
  </si>
  <si>
    <t>Receipt</t>
  </si>
  <si>
    <t>Amount</t>
  </si>
  <si>
    <t>Payment Method</t>
  </si>
  <si>
    <t>Reference</t>
  </si>
  <si>
    <t>Payment Date</t>
  </si>
  <si>
    <t>Processed Date</t>
  </si>
  <si>
    <t>Coffee</t>
  </si>
  <si>
    <t>MOJO COFFEE AKL AIRPORT</t>
  </si>
  <si>
    <t>Direct Debit</t>
  </si>
  <si>
    <t>REF42044</t>
  </si>
  <si>
    <t>Wilson Parking CBD</t>
  </si>
  <si>
    <t>Travel &amp; Transport</t>
  </si>
  <si>
    <t>Online Payment</t>
  </si>
  <si>
    <t>shopping</t>
  </si>
  <si>
    <t>Home &amp; Garden</t>
  </si>
  <si>
    <t>BUNNINGS MT WGTN AKL</t>
  </si>
  <si>
    <t>Visa Debit</t>
  </si>
  <si>
    <t>Eating Out</t>
  </si>
  <si>
    <t>Takeaway</t>
  </si>
  <si>
    <t>MEXICALI FRESH CBD AKL</t>
  </si>
  <si>
    <t>PURCHASE 6241</t>
  </si>
  <si>
    <t>Countdown Mt Eden</t>
  </si>
  <si>
    <t>GROCERIES</t>
  </si>
  <si>
    <t>Countdown Mt Eden Akl Nz</t>
  </si>
  <si>
    <t>REF58354</t>
  </si>
  <si>
    <t>Mojo Coffee Airport</t>
  </si>
  <si>
    <t>Snack</t>
  </si>
  <si>
    <t>mojo coffee akl airport</t>
  </si>
  <si>
    <t>Cafes</t>
  </si>
  <si>
    <t>LITTLE BIRD ORGANICS NZ</t>
  </si>
  <si>
    <t>Z Energy Mt Wellington</t>
  </si>
  <si>
    <t>Petrol</t>
  </si>
  <si>
    <t>z energy mt wellington</t>
  </si>
  <si>
    <t>REF31544</t>
  </si>
  <si>
    <t>Jucy Car Rental</t>
  </si>
  <si>
    <t>Petrol &amp; Transport</t>
  </si>
  <si>
    <t>Public Transport</t>
  </si>
  <si>
    <t>jucy rentals nz 0800</t>
  </si>
  <si>
    <t>Dining Out</t>
  </si>
  <si>
    <t>Sit-down</t>
  </si>
  <si>
    <t>DOORDASH*NZ AUCKLAND</t>
  </si>
  <si>
    <t>Unichem Pharmacy Newmkt</t>
  </si>
  <si>
    <t>Health</t>
  </si>
  <si>
    <t>Doctor</t>
  </si>
  <si>
    <t>UNICHEM PHARMACY NEWMKT</t>
  </si>
  <si>
    <t>REF32018</t>
  </si>
  <si>
    <t>Burger Fuel Newmarket</t>
  </si>
  <si>
    <t>Restaurants</t>
  </si>
  <si>
    <t>Burger Fuel Newmarket Nz</t>
  </si>
  <si>
    <t>REF21497</t>
  </si>
  <si>
    <t>Airbnb NZ</t>
  </si>
  <si>
    <t>TRAVEL</t>
  </si>
  <si>
    <t>Flights</t>
  </si>
  <si>
    <t>Airbnb * Accommodation</t>
  </si>
  <si>
    <t>Eftpos</t>
  </si>
  <si>
    <t>REF51795</t>
  </si>
  <si>
    <t>Brunch</t>
  </si>
  <si>
    <t>Kokako Cafe Grey Lynn</t>
  </si>
  <si>
    <t>Flight Coffee</t>
  </si>
  <si>
    <t>AUTH 329437</t>
  </si>
  <si>
    <t>DoorDash NZ</t>
  </si>
  <si>
    <t>Dining</t>
  </si>
  <si>
    <t>doordash*nz auckland</t>
  </si>
  <si>
    <t>AUTH 205939</t>
  </si>
  <si>
    <t>Ola Cabs NZ</t>
  </si>
  <si>
    <t>TXN864234</t>
  </si>
  <si>
    <t>Delivery</t>
  </si>
  <si>
    <t>DEPOT EATERY AKL CBD</t>
  </si>
  <si>
    <t>MENULOG NZ ORDER#44821</t>
  </si>
  <si>
    <t>PURCHASE 6754</t>
  </si>
  <si>
    <t>BP 2GO Penrose</t>
  </si>
  <si>
    <t>Transportation</t>
  </si>
  <si>
    <t>Bp 2Go Penrose Akl Nz</t>
  </si>
  <si>
    <t>AUTH 197627</t>
  </si>
  <si>
    <t>Atomic Coffee Roasters</t>
  </si>
  <si>
    <t>ATOMIC COFFEE ROASTERS NZ</t>
  </si>
  <si>
    <t>TXN200575</t>
  </si>
  <si>
    <t>Pak'nSave Māngere</t>
  </si>
  <si>
    <t>Bulk Buy</t>
  </si>
  <si>
    <t>Fresh Produce</t>
  </si>
  <si>
    <t>New World Ponsonby Auckl</t>
  </si>
  <si>
    <t>Pharmacy</t>
  </si>
  <si>
    <t>waterworld akl pools</t>
  </si>
  <si>
    <t>PURCHASE 1568</t>
  </si>
  <si>
    <t>Utilities</t>
  </si>
  <si>
    <t>Mobile</t>
  </si>
  <si>
    <t>2degrees mobile nz dd</t>
  </si>
  <si>
    <t>Event Cinemas Sylvia Pk</t>
  </si>
  <si>
    <t>ENTERTAINMENT</t>
  </si>
  <si>
    <t>Cinema</t>
  </si>
  <si>
    <t>EVENT CINEMAS SYLVIA PK</t>
  </si>
  <si>
    <t>Auto Payment</t>
  </si>
  <si>
    <t>Physio Works NZ</t>
  </si>
  <si>
    <t>health &amp; fitness</t>
  </si>
  <si>
    <t>Physio</t>
  </si>
  <si>
    <t>PHYSIO WORKS MT EDEN NZ</t>
  </si>
  <si>
    <t>AA Insurance</t>
  </si>
  <si>
    <t>Bills</t>
  </si>
  <si>
    <t>Internet</t>
  </si>
  <si>
    <t>AA INSURANCE NZ DD</t>
  </si>
  <si>
    <t>Farmers Mt Eden</t>
  </si>
  <si>
    <t>Electronics</t>
  </si>
  <si>
    <t>coffee &amp; cafes</t>
  </si>
  <si>
    <t>AUTH 939767</t>
  </si>
  <si>
    <t>FLIGHT COFFEE AKL CBD</t>
  </si>
  <si>
    <t>AUTH 794530</t>
  </si>
  <si>
    <t>REF88647</t>
  </si>
  <si>
    <t>Pak'nSave Botany</t>
  </si>
  <si>
    <t>Food &amp; Groceries</t>
  </si>
  <si>
    <t>PAKNSAVE BOTANY NZ</t>
  </si>
  <si>
    <t>Midnight Espresso</t>
  </si>
  <si>
    <t>Cafe</t>
  </si>
  <si>
    <t>Midnight Espresso Akl</t>
  </si>
  <si>
    <t>Columbus Coffee Sylvia</t>
  </si>
  <si>
    <t>COLUMBUS COFFEE SYLVIA PK</t>
  </si>
  <si>
    <t>TXN310026</t>
  </si>
  <si>
    <t>countdown mt eden akl nz</t>
  </si>
  <si>
    <t>Leisure</t>
  </si>
  <si>
    <t>Events</t>
  </si>
  <si>
    <t>TXN827213</t>
  </si>
  <si>
    <t>Bills &amp; Utilities</t>
  </si>
  <si>
    <t>Insurance</t>
  </si>
  <si>
    <t>Gaming</t>
  </si>
  <si>
    <t>apple.com/nz/bill</t>
  </si>
  <si>
    <t>starbucks queen st 0001</t>
  </si>
  <si>
    <t>Four Square Parnell</t>
  </si>
  <si>
    <t>Weekly Shop</t>
  </si>
  <si>
    <t>Hell Pizza Online</t>
  </si>
  <si>
    <t>HELL PIZZA ONLINE NZ</t>
  </si>
  <si>
    <t>Les Mills City</t>
  </si>
  <si>
    <t>Medical &amp; Health</t>
  </si>
  <si>
    <t>AUTH 648513</t>
  </si>
  <si>
    <t>Study</t>
  </si>
  <si>
    <t>Studylink Nz Repayment</t>
  </si>
  <si>
    <t>Depot Eatery</t>
  </si>
  <si>
    <t>Fine Dining</t>
  </si>
  <si>
    <t>REF75191</t>
  </si>
  <si>
    <t>Electricity</t>
  </si>
  <si>
    <t>state insurance nz dd</t>
  </si>
  <si>
    <t>transport</t>
  </si>
  <si>
    <t>WILSON PARKING CBD AKL</t>
  </si>
  <si>
    <t>MIDNIGHT ESPRESSO AKL</t>
  </si>
  <si>
    <t>PURCHASE 1071</t>
  </si>
  <si>
    <t>Wilson Parking Cbd Akl</t>
  </si>
  <si>
    <t>PURCHASE 3185</t>
  </si>
  <si>
    <t>Aa Membership Annual Nz</t>
  </si>
  <si>
    <t>University of Auckland</t>
  </si>
  <si>
    <t>University</t>
  </si>
  <si>
    <t>Univ Of Auckland Fee</t>
  </si>
  <si>
    <t>PURCHASE 7349</t>
  </si>
  <si>
    <t>steamgames.com nz</t>
  </si>
  <si>
    <t>PURCHASE 3906</t>
  </si>
  <si>
    <t>Starbucks Queen St</t>
  </si>
  <si>
    <t>STARBUCKS QUEEN ST 0001</t>
  </si>
  <si>
    <t>AUTH 153325</t>
  </si>
  <si>
    <t>MERCURY ENERGY DD NZ</t>
  </si>
  <si>
    <t>TXN795556</t>
  </si>
  <si>
    <t>State Insurance</t>
  </si>
  <si>
    <t>STATE INSURANCE NZ DD</t>
  </si>
  <si>
    <t>TXN663876</t>
  </si>
  <si>
    <t>Grocery</t>
  </si>
  <si>
    <t>Paknsave Mangere Akl Nz</t>
  </si>
  <si>
    <t>PURCHASE 7626</t>
  </si>
  <si>
    <t>New World Ponsonby</t>
  </si>
  <si>
    <t>NEW WORLD PONSONBY AUCKL</t>
  </si>
  <si>
    <t>Accommodation &amp; Travel</t>
  </si>
  <si>
    <t>Accommodation</t>
  </si>
  <si>
    <t>airbnb * accommodation</t>
  </si>
  <si>
    <t>Taxi/Rideshare</t>
  </si>
  <si>
    <t>wilson parking cbd akl</t>
  </si>
  <si>
    <t>Auckland Zoo</t>
  </si>
  <si>
    <t>Fun &amp; Entertainment</t>
  </si>
  <si>
    <t>Auckland Zoo Admission</t>
  </si>
  <si>
    <t>Zara Queen St</t>
  </si>
  <si>
    <t>Online</t>
  </si>
  <si>
    <t>zara queen st auckland</t>
  </si>
  <si>
    <t>Fast Food</t>
  </si>
  <si>
    <t>AA Membership</t>
  </si>
  <si>
    <t>AA MEMBERSHIP ANNUAL NZ</t>
  </si>
  <si>
    <t>AUTH 171744</t>
  </si>
  <si>
    <t>harris farm mkt auckland</t>
  </si>
  <si>
    <t>Jucy Rentals Nz 0800</t>
  </si>
  <si>
    <t>AUTH 881369</t>
  </si>
  <si>
    <t>Top-up</t>
  </si>
  <si>
    <t>Clothing &amp; Shopping</t>
  </si>
  <si>
    <t>Clothing</t>
  </si>
  <si>
    <t>amazon.com.au*nz12345</t>
  </si>
  <si>
    <t>Little Bird Organics</t>
  </si>
  <si>
    <t>Parking</t>
  </si>
  <si>
    <t>OLA CABS NZ RIDE #8812</t>
  </si>
  <si>
    <t>UberEats NZ</t>
  </si>
  <si>
    <t>ubereats* nz 8008675309</t>
  </si>
  <si>
    <t>TXN378258</t>
  </si>
  <si>
    <t>Watercare Auckland</t>
  </si>
  <si>
    <t>Utilities &amp; Bills</t>
  </si>
  <si>
    <t>Water</t>
  </si>
  <si>
    <t>PURCHASE 7580</t>
  </si>
  <si>
    <t>Nail Bar Sylvia Pk</t>
  </si>
  <si>
    <t>Beauty &amp; Personal Care</t>
  </si>
  <si>
    <t>nail bar sylvia park</t>
  </si>
  <si>
    <t>Glassons Sylvia Pk</t>
  </si>
  <si>
    <t>TXN820184</t>
  </si>
  <si>
    <t>Education</t>
  </si>
  <si>
    <t>Books</t>
  </si>
  <si>
    <t>studylink nz repayment</t>
  </si>
  <si>
    <t>Hoyts Botany</t>
  </si>
  <si>
    <t>Streaming</t>
  </si>
  <si>
    <t>HOYTS BOTANY AUCKLAND</t>
  </si>
  <si>
    <t>REF33647</t>
  </si>
  <si>
    <t>Countdown Sylvia Pk Auckland</t>
  </si>
  <si>
    <t>Auckland DHB</t>
  </si>
  <si>
    <t>Gym</t>
  </si>
  <si>
    <t>AUCKLAND DHB PAYMENT</t>
  </si>
  <si>
    <t>PURCHASE 2816</t>
  </si>
  <si>
    <t>Transport</t>
  </si>
  <si>
    <t>HARRIS FARM MKT AUCKLAND</t>
  </si>
  <si>
    <t>REF63088</t>
  </si>
  <si>
    <t>Entertainment &amp; Media</t>
  </si>
  <si>
    <t>Sky TV NZ</t>
  </si>
  <si>
    <t>Bunnings Mt Wellington</t>
  </si>
  <si>
    <t>Retail</t>
  </si>
  <si>
    <t>PURCHASE 1672</t>
  </si>
  <si>
    <t>Nandos Botany Auckland Nz</t>
  </si>
  <si>
    <t>TXN262471</t>
  </si>
  <si>
    <t>Mexicali Fresh CBD</t>
  </si>
  <si>
    <t>Food &amp; Drink</t>
  </si>
  <si>
    <t>PURCHASE 6968</t>
  </si>
  <si>
    <t>AUTH 653081</t>
  </si>
  <si>
    <t>Mercury Energy</t>
  </si>
  <si>
    <t>REF39102</t>
  </si>
  <si>
    <t>AT HOP Auto Top-up</t>
  </si>
  <si>
    <t>AT HOP AUTO TOPUP 83992</t>
  </si>
  <si>
    <t>Ponsonby Central Food</t>
  </si>
  <si>
    <t>ponsonby central food nz</t>
  </si>
  <si>
    <t>Mojo Coffee Akl Airport</t>
  </si>
  <si>
    <t>Ticketmaster NZ</t>
  </si>
  <si>
    <t>TICKETMASTER NZ ONLINE</t>
  </si>
  <si>
    <t>PURCHASE 6554</t>
  </si>
  <si>
    <t>burger fuel newmarket nz</t>
  </si>
  <si>
    <t>TXN916332</t>
  </si>
  <si>
    <t>personal care</t>
  </si>
  <si>
    <t>smith caughey beauty</t>
  </si>
  <si>
    <t>PURCHASE 9238</t>
  </si>
  <si>
    <t>Spark NZ Broadband</t>
  </si>
  <si>
    <t>Spark Nz Broadband Dd</t>
  </si>
  <si>
    <t>AUTH 772124</t>
  </si>
  <si>
    <t>PURCHASE 3142</t>
  </si>
  <si>
    <t>sky tv nz monthly sub</t>
  </si>
  <si>
    <t>PURCHASE 3194</t>
  </si>
  <si>
    <t>Skinny Mobile NZ</t>
  </si>
  <si>
    <t>skinny mobile nz dd</t>
  </si>
  <si>
    <t>Mobil Greenlane</t>
  </si>
  <si>
    <t>mobil greenlane akl nz</t>
  </si>
  <si>
    <t>PURCHASE 5902</t>
  </si>
  <si>
    <t>iHealth Clinic NZ</t>
  </si>
  <si>
    <t>Ihealth Clinic Akl</t>
  </si>
  <si>
    <t>PURCHASE 3481</t>
  </si>
  <si>
    <t>Mitre 10 Mega Glenfield</t>
  </si>
  <si>
    <t>MITRE10 MEGA GLENFIELD</t>
  </si>
  <si>
    <t>bp 2go penrose akl nz</t>
  </si>
  <si>
    <t>AUTH 934042</t>
  </si>
  <si>
    <t>AUTH 829988</t>
  </si>
  <si>
    <t>Menulog NZ</t>
  </si>
  <si>
    <t>PURCHASE 2584</t>
  </si>
  <si>
    <t>Spotify NZ</t>
  </si>
  <si>
    <t>Entertainment</t>
  </si>
  <si>
    <t>FARMERS MT EDEN AKL NZ</t>
  </si>
  <si>
    <t>PURCHASE 1319</t>
  </si>
  <si>
    <t>Vector Lines</t>
  </si>
  <si>
    <t>Vector Lines Nz 0800</t>
  </si>
  <si>
    <t>AUTH 891952</t>
  </si>
  <si>
    <t>Paknsave Botany Nz</t>
  </si>
  <si>
    <t>REF14117</t>
  </si>
  <si>
    <t>unichem pharmacy newmkt</t>
  </si>
  <si>
    <t>Spark Arena Tickets</t>
  </si>
  <si>
    <t>Spark Arena Akl Tickets</t>
  </si>
  <si>
    <t>TXN411120</t>
  </si>
  <si>
    <t>Mercury Energy Dd Nz</t>
  </si>
  <si>
    <t>REF84668</t>
  </si>
  <si>
    <t>REF70068</t>
  </si>
  <si>
    <t>Fitness</t>
  </si>
  <si>
    <t>Skinny Dip Pools</t>
  </si>
  <si>
    <t>TXN377312</t>
  </si>
  <si>
    <t>COUNTDOWN SYLVIA PK AUCKLAND</t>
  </si>
  <si>
    <t>spotify nz 0800</t>
  </si>
  <si>
    <t>little bird organics nz</t>
  </si>
  <si>
    <t>TXN925622</t>
  </si>
  <si>
    <t>REF25118</t>
  </si>
  <si>
    <t>Smith &amp; Caughey Beauty</t>
  </si>
  <si>
    <t>Grooming</t>
  </si>
  <si>
    <t>Skincare</t>
  </si>
  <si>
    <t>Smith Caughey Beauty</t>
  </si>
  <si>
    <t>PURCHASE 2146</t>
  </si>
  <si>
    <t>PURCHASE 9977</t>
  </si>
  <si>
    <t>Timezone Sylvia Park</t>
  </si>
  <si>
    <t>timezone sylvia pk akl</t>
  </si>
  <si>
    <t>TXN943170</t>
  </si>
  <si>
    <t>Harris Farm Markets</t>
  </si>
  <si>
    <t>Apple iTunes NZ</t>
  </si>
  <si>
    <t>AUTH 691807</t>
  </si>
  <si>
    <t>SPARK ARENA AKL TICKETS</t>
  </si>
  <si>
    <t>TXN735324</t>
  </si>
  <si>
    <t>Disney+ NZ</t>
  </si>
  <si>
    <t>DISNEY PLUS NZ MONTHLY</t>
  </si>
  <si>
    <t>TXN611233</t>
  </si>
  <si>
    <t>Auckland Dhb Payment</t>
  </si>
  <si>
    <t>Learning</t>
  </si>
  <si>
    <t>Online Course</t>
  </si>
  <si>
    <t>aut university akl nz</t>
  </si>
  <si>
    <t>ola cabs nz ride #8812</t>
  </si>
  <si>
    <t>AUTH 406327</t>
  </si>
  <si>
    <t>Kmart Botany Auckland Nz</t>
  </si>
  <si>
    <t>TXN950544</t>
  </si>
  <si>
    <t>Uber NZ</t>
  </si>
  <si>
    <t>Uber* Trip Nz 773-928-1049</t>
  </si>
  <si>
    <t>AUTH 807160</t>
  </si>
  <si>
    <t>REF83946</t>
  </si>
  <si>
    <t>PURCHASE 1945</t>
  </si>
  <si>
    <t>PURCHASE 3948</t>
  </si>
  <si>
    <t>Jetstar NZ</t>
  </si>
  <si>
    <t>jetstar nz booking</t>
  </si>
  <si>
    <t>SALS PIZZA NZ 09-123456</t>
  </si>
  <si>
    <t>TXN316092</t>
  </si>
  <si>
    <t>JETSTAR NZ BOOKING</t>
  </si>
  <si>
    <t>REF55143</t>
  </si>
  <si>
    <t>kokako cafe grey lynn</t>
  </si>
  <si>
    <t>TXN449138</t>
  </si>
  <si>
    <t>Study Link NZ</t>
  </si>
  <si>
    <t>PURCHASE 6530</t>
  </si>
  <si>
    <t>Intercity Coach</t>
  </si>
  <si>
    <t>intercity nz ticket</t>
  </si>
  <si>
    <t>PURCHASE 3252</t>
  </si>
  <si>
    <t>REF75826</t>
  </si>
  <si>
    <t>TXN321686</t>
  </si>
  <si>
    <t>AT HOP Top-up</t>
  </si>
  <si>
    <t>AT HOP TOPUP ONLINE NZ</t>
  </si>
  <si>
    <t>AUTH 352153</t>
  </si>
  <si>
    <t>Snap Fitness Mt Eden</t>
  </si>
  <si>
    <t>SNAP FITNESS MT EDEN NZ</t>
  </si>
  <si>
    <t>REF48253</t>
  </si>
  <si>
    <t>ticketmaster nz online</t>
  </si>
  <si>
    <t>PB Tech AKL</t>
  </si>
  <si>
    <t>PB TECH AUCKLAND NZ</t>
  </si>
  <si>
    <t>AUTH 602514</t>
  </si>
  <si>
    <t>iD Climbing Auckland</t>
  </si>
  <si>
    <t>ID CLIMBING GYM AKL</t>
  </si>
  <si>
    <t>REF48722</t>
  </si>
  <si>
    <t>Zara Queen St Auckland</t>
  </si>
  <si>
    <t>AUTH 550418</t>
  </si>
  <si>
    <t>AUTH 511612</t>
  </si>
  <si>
    <t>PURCHASE 3258</t>
  </si>
  <si>
    <t>KOKAKO CAFE GREY LYNN</t>
  </si>
  <si>
    <t>AUTH 635618</t>
  </si>
  <si>
    <t>CIBO RESTAURANT PARNELL</t>
  </si>
  <si>
    <t>AUTH 664939</t>
  </si>
  <si>
    <t>TIMEZONE SYLVIA PK AKL</t>
  </si>
  <si>
    <t>REF92074</t>
  </si>
  <si>
    <t>Tower Insurance NZ</t>
  </si>
  <si>
    <t>TOWER INSURANCE DD NZ</t>
  </si>
  <si>
    <t>PURCHASE 2160</t>
  </si>
  <si>
    <t>Gull Petrol Māngere</t>
  </si>
  <si>
    <t>AUTH 730193</t>
  </si>
  <si>
    <t>Mobil Greenlane Akl Nz</t>
  </si>
  <si>
    <t>AUT Library Fine</t>
  </si>
  <si>
    <t>PURCHASE 4658</t>
  </si>
  <si>
    <t>Mighty Ape NZ</t>
  </si>
  <si>
    <t>MIGHTY APE NZ ORDER</t>
  </si>
  <si>
    <t>AUTH 670792</t>
  </si>
  <si>
    <t>REF41938</t>
  </si>
  <si>
    <t>2degrees Mobile</t>
  </si>
  <si>
    <t>2Degrees Mobile Nz Dd</t>
  </si>
  <si>
    <t>TXN571023</t>
  </si>
  <si>
    <t>PURCHASE 7315</t>
  </si>
  <si>
    <t>Regis Hairdresser Newmkt</t>
  </si>
  <si>
    <t>regis hair newmarket</t>
  </si>
  <si>
    <t>The Warehouse Cafe</t>
  </si>
  <si>
    <t>The Whse Cafe Queen St</t>
  </si>
  <si>
    <t>Harris Farm Mkt Auckland</t>
  </si>
  <si>
    <t>TXN488848</t>
  </si>
  <si>
    <t>AUTH 303974</t>
  </si>
  <si>
    <t>AUTH 661671</t>
  </si>
  <si>
    <t>Air NZ Booking</t>
  </si>
  <si>
    <t>air nz * booking nz</t>
  </si>
  <si>
    <t>TXN901387</t>
  </si>
  <si>
    <t>Sky Tv Nz Monthly Sub</t>
  </si>
  <si>
    <t>PURCHASE 7099</t>
  </si>
  <si>
    <t>PURCHASE 6950</t>
  </si>
  <si>
    <t>hoyts botany auckland</t>
  </si>
  <si>
    <t>Mexicali Fresh Cbd Akl</t>
  </si>
  <si>
    <t>Barber Shop K Road</t>
  </si>
  <si>
    <t>THE BARBER K ROAD AKL</t>
  </si>
  <si>
    <t>Contact Energy</t>
  </si>
  <si>
    <t>Contact Energy Nz Dd</t>
  </si>
  <si>
    <t>H&amp;M Auckland CBD</t>
  </si>
  <si>
    <t>H&amp;M AUCKLAND CBD NZ</t>
  </si>
  <si>
    <t>JB Hi-Fi Sylvia Pk</t>
  </si>
  <si>
    <t>JB HIFI SYLVIA PK AKL</t>
  </si>
  <si>
    <t>REF81197</t>
  </si>
  <si>
    <t>paknsave mangere akl nz</t>
  </si>
  <si>
    <t>PURCHASE 4982</t>
  </si>
  <si>
    <t>PURCHASE 4812</t>
  </si>
  <si>
    <t>physio works mt eden nz</t>
  </si>
  <si>
    <t>TXN302500</t>
  </si>
  <si>
    <t>snap fitness mt eden nz</t>
  </si>
  <si>
    <t>AUTH 729057</t>
  </si>
  <si>
    <t>PURCHASE 1003</t>
  </si>
  <si>
    <t>Four Square Parnell Akl</t>
  </si>
  <si>
    <t>AUTH 831663</t>
  </si>
  <si>
    <t>Clean Category</t>
  </si>
  <si>
    <t>Food</t>
  </si>
  <si>
    <t>Shopping</t>
  </si>
  <si>
    <t>Bill</t>
  </si>
  <si>
    <t>Sport</t>
  </si>
  <si>
    <t>Studies</t>
  </si>
  <si>
    <t>Beauty</t>
  </si>
  <si>
    <t>Day</t>
  </si>
  <si>
    <t>Month</t>
  </si>
  <si>
    <t>Year</t>
  </si>
  <si>
    <t>Yes</t>
  </si>
  <si>
    <t>No</t>
  </si>
  <si>
    <t>Étiquettes de lignes</t>
  </si>
  <si>
    <t>Total général</t>
  </si>
  <si>
    <t>avril</t>
  </si>
  <si>
    <t>février</t>
  </si>
  <si>
    <t>janvier</t>
  </si>
  <si>
    <t>mars</t>
  </si>
  <si>
    <t>mai</t>
  </si>
  <si>
    <t>Month number</t>
  </si>
  <si>
    <t>Étiquettes de colonnes</t>
  </si>
  <si>
    <t>Count</t>
  </si>
  <si>
    <t>Total Amount</t>
  </si>
  <si>
    <t>Amount value</t>
  </si>
  <si>
    <t>Weekday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</si>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</sst>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[expenses-analysis.xlsx]Category!Tableau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</a:t>
            </a:r>
            <a:r>
              <a:rPr lang="en-US" baseline="0"/>
              <a:t> spent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Category!$A$4:$A$13</c:f>
              <c:strCache>
                <c:ptCount val="9"/>
                <c:pt idx="0">
                  <c:v>Beauty</c:v>
                </c:pt>
                <c:pt idx="1">
                  <c:v>Bill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Shopping</c:v>
                </c:pt>
                <c:pt idx="6">
                  <c:v>Sport</c:v>
                </c:pt>
                <c:pt idx="7">
                  <c:v>Studies</c:v>
                </c:pt>
                <c:pt idx="8">
                  <c:v>Transport</c:v>
                </c:pt>
              </c:strCache>
            </c:strRef>
          </c:cat>
          <c:val>
            <c:numRef>
              <c:f>Category!$B$4:$B$13</c:f>
              <c:numCache>
                <c:formatCode>General</c:formatCode>
                <c:ptCount val="9"/>
                <c:pt idx="0">
                  <c:v>490.89</c:v>
                </c:pt>
                <c:pt idx="1">
                  <c:v>2658.8599999999997</c:v>
                </c:pt>
                <c:pt idx="2">
                  <c:v>2570.27</c:v>
                </c:pt>
                <c:pt idx="3">
                  <c:v>4403.4999999999964</c:v>
                </c:pt>
                <c:pt idx="4">
                  <c:v>674.43000000000006</c:v>
                </c:pt>
                <c:pt idx="5">
                  <c:v>2374.38</c:v>
                </c:pt>
                <c:pt idx="6">
                  <c:v>742.73</c:v>
                </c:pt>
                <c:pt idx="7">
                  <c:v>2295.9300000000003</c:v>
                </c:pt>
                <c:pt idx="8">
                  <c:v>7195.869999999999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7-4900-BC92-B5872EDC8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6545616"/>
        <c:axId val="1526546096"/>
      </c:barChart>
      <c:catAx>
        <c:axId val="152654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546096"/>
        <c:crosses val="autoZero"/>
        <c:auto val="1"/>
        <c:lblAlgn val="ctr"/>
        <c:lblOffset val="100"/>
        <c:noMultiLvlLbl val="0"/>
      </c:catAx>
      <c:valAx>
        <c:axId val="15265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65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[expenses-analysis.xlsx]Category!Tableau croisé dynamique6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Category!$B$21:$B$22</c:f>
              <c:strCache>
                <c:ptCount val="1"/>
                <c:pt idx="0">
                  <c:v>avril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Category!$A$23:$A$32</c:f>
              <c:strCache>
                <c:ptCount val="9"/>
                <c:pt idx="0">
                  <c:v>Beauty</c:v>
                </c:pt>
                <c:pt idx="1">
                  <c:v>Bill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Shopping</c:v>
                </c:pt>
                <c:pt idx="6">
                  <c:v>Sport</c:v>
                </c:pt>
                <c:pt idx="7">
                  <c:v>Studies</c:v>
                </c:pt>
                <c:pt idx="8">
                  <c:v>Transport</c:v>
                </c:pt>
              </c:strCache>
            </c:strRef>
          </c:cat>
          <c:val>
            <c:numRef>
              <c:f>Category!$B$23:$B$32</c:f>
              <c:numCache>
                <c:formatCode>General</c:formatCode>
                <c:ptCount val="9"/>
                <c:pt idx="1">
                  <c:v>727.92000000000007</c:v>
                </c:pt>
                <c:pt idx="2">
                  <c:v>463.97</c:v>
                </c:pt>
                <c:pt idx="3">
                  <c:v>1298.8600000000001</c:v>
                </c:pt>
                <c:pt idx="4">
                  <c:v>242.44</c:v>
                </c:pt>
                <c:pt idx="5">
                  <c:v>235</c:v>
                </c:pt>
                <c:pt idx="6">
                  <c:v>78</c:v>
                </c:pt>
                <c:pt idx="7">
                  <c:v>707.49</c:v>
                </c:pt>
                <c:pt idx="8">
                  <c:v>1091.3699999999999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C-4D43-B50A-751EA2C3BD9D}"/>
            </c:ext>
          </c:extLst>
        </c:ser>
        <c:ser>
          <c:idx val="1"/>
          <c:order val="1"/>
          <c:tx>
            <c:strRef>
              <c:f>Category!$C$21:$C$22</c:f>
              <c:strCache>
                <c:ptCount val="1"/>
                <c:pt idx="0">
                  <c:v>février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Category!$A$23:$A$32</c:f>
              <c:strCache>
                <c:ptCount val="9"/>
                <c:pt idx="0">
                  <c:v>Beauty</c:v>
                </c:pt>
                <c:pt idx="1">
                  <c:v>Bill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Shopping</c:v>
                </c:pt>
                <c:pt idx="6">
                  <c:v>Sport</c:v>
                </c:pt>
                <c:pt idx="7">
                  <c:v>Studies</c:v>
                </c:pt>
                <c:pt idx="8">
                  <c:v>Transport</c:v>
                </c:pt>
              </c:strCache>
            </c:strRef>
          </c:cat>
          <c:val>
            <c:numRef>
              <c:f>Category!$C$23:$C$32</c:f>
              <c:numCache>
                <c:formatCode>General</c:formatCode>
                <c:ptCount val="9"/>
                <c:pt idx="0">
                  <c:v>163</c:v>
                </c:pt>
                <c:pt idx="1">
                  <c:v>960.5</c:v>
                </c:pt>
                <c:pt idx="2">
                  <c:v>527.94000000000005</c:v>
                </c:pt>
                <c:pt idx="3">
                  <c:v>1245.3400000000001</c:v>
                </c:pt>
                <c:pt idx="4">
                  <c:v>124</c:v>
                </c:pt>
                <c:pt idx="5">
                  <c:v>700.43000000000006</c:v>
                </c:pt>
                <c:pt idx="6">
                  <c:v>244.49</c:v>
                </c:pt>
                <c:pt idx="7">
                  <c:v>296.95</c:v>
                </c:pt>
                <c:pt idx="8">
                  <c:v>996.01000000000022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BC-4D43-B50A-751EA2C3BD9D}"/>
            </c:ext>
          </c:extLst>
        </c:ser>
        <c:ser>
          <c:idx val="2"/>
          <c:order val="2"/>
          <c:tx>
            <c:strRef>
              <c:f>Category!$D$21:$D$22</c:f>
              <c:strCache>
                <c:ptCount val="1"/>
                <c:pt idx="0">
                  <c:v>janvier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Category!$A$23:$A$32</c:f>
              <c:strCache>
                <c:ptCount val="9"/>
                <c:pt idx="0">
                  <c:v>Beauty</c:v>
                </c:pt>
                <c:pt idx="1">
                  <c:v>Bill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Shopping</c:v>
                </c:pt>
                <c:pt idx="6">
                  <c:v>Sport</c:v>
                </c:pt>
                <c:pt idx="7">
                  <c:v>Studies</c:v>
                </c:pt>
                <c:pt idx="8">
                  <c:v>Transport</c:v>
                </c:pt>
              </c:strCache>
            </c:strRef>
          </c:cat>
          <c:val>
            <c:numRef>
              <c:f>Category!$D$23:$D$32</c:f>
              <c:numCache>
                <c:formatCode>General</c:formatCode>
                <c:ptCount val="9"/>
                <c:pt idx="0">
                  <c:v>43</c:v>
                </c:pt>
                <c:pt idx="1">
                  <c:v>359</c:v>
                </c:pt>
                <c:pt idx="2">
                  <c:v>694</c:v>
                </c:pt>
                <c:pt idx="3">
                  <c:v>367.87</c:v>
                </c:pt>
                <c:pt idx="4">
                  <c:v>286.99</c:v>
                </c:pt>
                <c:pt idx="5">
                  <c:v>500.5</c:v>
                </c:pt>
                <c:pt idx="6">
                  <c:v>325.25</c:v>
                </c:pt>
                <c:pt idx="7">
                  <c:v>315.5</c:v>
                </c:pt>
                <c:pt idx="8">
                  <c:v>201.44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BC-4D43-B50A-751EA2C3BD9D}"/>
            </c:ext>
          </c:extLst>
        </c:ser>
        <c:ser>
          <c:idx val="3"/>
          <c:order val="3"/>
          <c:tx>
            <c:strRef>
              <c:f>Category!$E$21:$E$22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Category!$A$23:$A$32</c:f>
              <c:strCache>
                <c:ptCount val="9"/>
                <c:pt idx="0">
                  <c:v>Beauty</c:v>
                </c:pt>
                <c:pt idx="1">
                  <c:v>Bill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Shopping</c:v>
                </c:pt>
                <c:pt idx="6">
                  <c:v>Sport</c:v>
                </c:pt>
                <c:pt idx="7">
                  <c:v>Studies</c:v>
                </c:pt>
                <c:pt idx="8">
                  <c:v>Transport</c:v>
                </c:pt>
              </c:strCache>
            </c:strRef>
          </c:cat>
          <c:val>
            <c:numRef>
              <c:f>Category!$E$23:$E$32</c:f>
              <c:numCache>
                <c:formatCode>General</c:formatCode>
                <c:ptCount val="9"/>
                <c:pt idx="0">
                  <c:v>75.95</c:v>
                </c:pt>
                <c:pt idx="1">
                  <c:v>167.95</c:v>
                </c:pt>
                <c:pt idx="2">
                  <c:v>520.95000000000005</c:v>
                </c:pt>
                <c:pt idx="3">
                  <c:v>418.61</c:v>
                </c:pt>
                <c:pt idx="4">
                  <c:v>21</c:v>
                </c:pt>
                <c:pt idx="5">
                  <c:v>395.5</c:v>
                </c:pt>
                <c:pt idx="7">
                  <c:v>502</c:v>
                </c:pt>
                <c:pt idx="8">
                  <c:v>3271.9299999999994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BC-4D43-B50A-751EA2C3BD9D}"/>
            </c:ext>
          </c:extLst>
        </c:ser>
        <c:ser>
          <c:idx val="4"/>
          <c:order val="4"/>
          <c:tx>
            <c:strRef>
              <c:f>Category!$F$21:$F$22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Category!$A$23:$A$32</c:f>
              <c:strCache>
                <c:ptCount val="9"/>
                <c:pt idx="0">
                  <c:v>Beauty</c:v>
                </c:pt>
                <c:pt idx="1">
                  <c:v>Bill</c:v>
                </c:pt>
                <c:pt idx="2">
                  <c:v>Entertainment</c:v>
                </c:pt>
                <c:pt idx="3">
                  <c:v>Food</c:v>
                </c:pt>
                <c:pt idx="4">
                  <c:v>Health</c:v>
                </c:pt>
                <c:pt idx="5">
                  <c:v>Shopping</c:v>
                </c:pt>
                <c:pt idx="6">
                  <c:v>Sport</c:v>
                </c:pt>
                <c:pt idx="7">
                  <c:v>Studies</c:v>
                </c:pt>
                <c:pt idx="8">
                  <c:v>Transport</c:v>
                </c:pt>
              </c:strCache>
            </c:strRef>
          </c:cat>
          <c:val>
            <c:numRef>
              <c:f>Category!$F$23:$F$32</c:f>
              <c:numCache>
                <c:formatCode>General</c:formatCode>
                <c:ptCount val="9"/>
                <c:pt idx="0">
                  <c:v>208.94</c:v>
                </c:pt>
                <c:pt idx="1">
                  <c:v>443.49</c:v>
                </c:pt>
                <c:pt idx="2">
                  <c:v>363.41</c:v>
                </c:pt>
                <c:pt idx="3">
                  <c:v>1072.82</c:v>
                </c:pt>
                <c:pt idx="5">
                  <c:v>542.95000000000005</c:v>
                </c:pt>
                <c:pt idx="6">
                  <c:v>94.990000000000009</c:v>
                </c:pt>
                <c:pt idx="7">
                  <c:v>473.99</c:v>
                </c:pt>
                <c:pt idx="8">
                  <c:v>1635.1200000000001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BC-4D43-B50A-751EA2C3B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111776"/>
        <c:axId val="1613112736"/>
      </c:barChart>
      <c:catAx>
        <c:axId val="16131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3112736"/>
        <c:crosses val="autoZero"/>
        <c:auto val="1"/>
        <c:lblAlgn val="ctr"/>
        <c:lblOffset val="100"/>
        <c:noMultiLvlLbl val="0"/>
      </c:catAx>
      <c:valAx>
        <c:axId val="16131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311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[expenses-analysis.xlsx]Category!Tableau croisé dynamique11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spent by week</a:t>
            </a:r>
            <a:r>
              <a:rPr lang="en-US" baseline="0"/>
              <a:t>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Category!$A$82:$A$89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Category!$B$82:$B$89</c:f>
              <c:numCache>
                <c:formatCode>General</c:formatCode>
                <c:ptCount val="7"/>
                <c:pt idx="0">
                  <c:v>3637.2599999999993</c:v>
                </c:pt>
                <c:pt idx="1">
                  <c:v>2335.85</c:v>
                </c:pt>
                <c:pt idx="2">
                  <c:v>3268.3499999999995</c:v>
                </c:pt>
                <c:pt idx="3">
                  <c:v>3185.1099999999988</c:v>
                </c:pt>
                <c:pt idx="4">
                  <c:v>2414.9299999999994</c:v>
                </c:pt>
                <c:pt idx="5">
                  <c:v>4000.5999999999995</c:v>
                </c:pt>
                <c:pt idx="6">
                  <c:v>4564.7599999999984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6-4B6B-B66D-C4105CE75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692031"/>
        <c:axId val="1121685311"/>
      </c:barChart>
      <c:catAx>
        <c:axId val="112169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1685311"/>
        <c:crosses val="autoZero"/>
        <c:auto val="1"/>
        <c:lblAlgn val="ctr"/>
        <c:lblOffset val="100"/>
        <c:noMultiLvlLbl val="0"/>
      </c:catAx>
      <c:valAx>
        <c:axId val="11216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169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[expenses-analysis.xlsx]Monthly!Tableau croisé dynamique8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Amount</a:t>
            </a:r>
            <a:r>
              <a:rPr lang="fr-FR" baseline="0"/>
              <a:t> paid across months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Monthly!$A$4:$A$9</c:f>
              <c:strCache>
                <c:ptCount val="5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</c:strCache>
            </c:strRef>
          </c:cat>
          <c:val>
            <c:numRef>
              <c:f>Monthly!$B$4:$B$9</c:f>
              <c:numCache>
                <c:formatCode>General</c:formatCode>
                <c:ptCount val="5"/>
                <c:pt idx="0">
                  <c:v>3093.5499999999993</c:v>
                </c:pt>
                <c:pt idx="1">
                  <c:v>5258.659999999998</c:v>
                </c:pt>
                <c:pt idx="2">
                  <c:v>5373.8899999999985</c:v>
                </c:pt>
                <c:pt idx="3">
                  <c:v>4845.0499999999984</c:v>
                </c:pt>
                <c:pt idx="4">
                  <c:v>4835.7099999999991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9-4C7B-8D55-9A41149FA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911311"/>
        <c:axId val="786450527"/>
      </c:lineChart>
      <c:catAx>
        <c:axId val="45391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6450527"/>
        <c:crosses val="autoZero"/>
        <c:auto val="1"/>
        <c:lblAlgn val="ctr"/>
        <c:lblOffset val="100"/>
        <c:noMultiLvlLbl val="0"/>
      </c:catAx>
      <c:valAx>
        <c:axId val="786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391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186690</xdr:colOff>
      <xdr:row>1</xdr:row>
      <xdr:rowOff>87630</xdr:rowOff>
    </xdr:from>
    <xdr:to>
      <xdr:col>8</xdr:col>
      <xdr:colOff>491490</xdr:colOff>
      <xdr:row>17</xdr:row>
      <xdr:rowOff>26670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48A2822-5313-CACF-FA9C-65ADD21206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278130</xdr:colOff>
      <xdr:row>18</xdr:row>
      <xdr:rowOff>11430</xdr:rowOff>
    </xdr:from>
    <xdr:to>
      <xdr:col>14</xdr:col>
      <xdr:colOff>438150</xdr:colOff>
      <xdr:row>33</xdr:row>
      <xdr:rowOff>125730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CADB5EF-B6F6-8A6C-88C0-08672D433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316230</xdr:colOff>
      <xdr:row>78</xdr:row>
      <xdr:rowOff>80010</xdr:rowOff>
    </xdr:from>
    <xdr:to>
      <xdr:col>9</xdr:col>
      <xdr:colOff>636270</xdr:colOff>
      <xdr:row>94</xdr:row>
      <xdr:rowOff>19050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B3B566E-4534-C578-AB44-27350BDB8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308610</xdr:colOff>
      <xdr:row>0</xdr:row>
      <xdr:rowOff>133350</xdr:rowOff>
    </xdr:from>
    <xdr:to>
      <xdr:col>7</xdr:col>
      <xdr:colOff>613410</xdr:colOff>
      <xdr:row>16</xdr:row>
      <xdr:rowOff>72390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4FB057B-96D3-7A9E-0717-867C4E3D1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MIR" refreshedDate="46161.515871412033" createdVersion="8" refreshedVersion="8" minRefreshableVersion="3" recordCount="199" xr:uid="{B4F3D790-3CC1-43BE-9536-B40FC1D8A3A6}">
  <cacheSource type="worksheet">
    <worksheetSource name="files"/>
  </cacheSource>
  <cacheFields count="15">
    <cacheField name="Merchant" numFmtId="0">
      <sharedItems containsBlank="1"/>
    </cacheField>
    <cacheField name="Category" numFmtId="0">
      <sharedItems containsBlank="1" count="10">
        <s v="Food"/>
        <s v="Transport"/>
        <s v="Shopping"/>
        <s v="Health"/>
        <s v="Bill"/>
        <s v="Entertainment"/>
        <s v="Sport"/>
        <s v="Studies"/>
        <s v="Beauty"/>
        <m u="1"/>
      </sharedItems>
    </cacheField>
    <cacheField name="Subcategory" numFmtId="0">
      <sharedItems containsBlank="1"/>
    </cacheField>
    <cacheField name="Description" numFmtId="0">
      <sharedItems/>
    </cacheField>
    <cacheField name="Receipt" numFmtId="0">
      <sharedItems containsBlank="1"/>
    </cacheField>
    <cacheField name="Amount" numFmtId="0">
      <sharedItems containsSemiMixedTypes="0" containsString="0" containsNumber="1" minValue="4.49" maxValue="1152"/>
    </cacheField>
    <cacheField name="Payment Method" numFmtId="0">
      <sharedItems containsBlank="1" count="6">
        <s v="Direct Debit"/>
        <s v="Online Payment"/>
        <s v="Visa Debit"/>
        <s v="Eftpos"/>
        <s v="Auto Payment"/>
        <m u="1"/>
      </sharedItems>
    </cacheField>
    <cacheField name="Reference" numFmtId="0">
      <sharedItems containsBlank="1"/>
    </cacheField>
    <cacheField name="Payment Date" numFmtId="14">
      <sharedItems containsSemiMixedTypes="0" containsNonDate="0" containsDate="1" containsString="0" minDate="2025-01-01T00:00:00" maxDate="2025-06-01T00:00:00"/>
    </cacheField>
    <cacheField name="Processed Date" numFmtId="14">
      <sharedItems containsSemiMixedTypes="0" containsNonDate="0" containsDate="1" containsString="0" minDate="2025-01-02T00:00:00" maxDate="2025-06-03T00:00:00"/>
    </cacheField>
    <cacheField name="Day" numFmtId="0">
      <sharedItems containsSemiMixedTypes="0" containsString="0" containsNumber="1" containsInteger="1" minValue="1" maxValue="31"/>
    </cacheField>
    <cacheField name="Month number" numFmtId="0">
      <sharedItems containsSemiMixedTypes="0" containsString="0" containsNumber="1" containsInteger="1" minValue="1" maxValue="5"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 containsMixedTypes="1" containsNumber="1" containsInteger="1" minValue="1" maxValue="5" count="10">
        <s v="avril"/>
        <s v="février"/>
        <s v="janvier"/>
        <s v="mars"/>
        <s v="mai"/>
        <n v="4" u="1"/>
        <n v="2" u="1"/>
        <n v="1" u="1"/>
        <n v="3" u="1"/>
        <n v="5" u="1"/>
      </sharedItems>
    </cacheField>
    <cacheField name="Weekday" numFmtId="0">
      <sharedItems containsSemiMixedTypes="0" containsString="0" containsNumber="1" containsInteger="1" minValue="0" maxValue="6" count="7">
        <n v="2"/>
        <n v="5"/>
        <n v="4"/>
        <n v="6"/>
        <n v="1"/>
        <n v="3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m/>
    <x v="0"/>
    <s v="Coffee"/>
    <s v="MOJO COFFEE AKL AIRPORT"/>
    <s v="Yes"/>
    <n v="13"/>
    <x v="0"/>
    <s v="REF42044"/>
    <d v="2025-04-01T00:00:00"/>
    <d v="2025-04-02T00:00:00"/>
    <n v="1"/>
    <n v="4"/>
    <n v="2025"/>
    <x v="0"/>
    <x v="0"/>
  </r>
  <r>
    <s v="Mojo Coffee Airport"/>
    <x v="0"/>
    <s v="Snack"/>
    <s v="MOJO COFFEE AKL AIRPORT"/>
    <m/>
    <n v="4.49"/>
    <x v="1"/>
    <m/>
    <d v="2025-04-03T00:00:00"/>
    <d v="2025-04-05T00:00:00"/>
    <n v="3"/>
    <n v="4"/>
    <n v="2025"/>
    <x v="0"/>
    <x v="1"/>
  </r>
  <r>
    <s v="Columbus Coffee Sylvia"/>
    <x v="0"/>
    <s v="Snack"/>
    <s v="COLUMBUS COFFEE SYLVIA PK"/>
    <s v="Yes"/>
    <n v="19.5"/>
    <x v="2"/>
    <s v="TXN310026"/>
    <d v="2025-04-17T00:00:00"/>
    <d v="2025-04-18T00:00:00"/>
    <n v="17"/>
    <n v="4"/>
    <n v="2025"/>
    <x v="0"/>
    <x v="2"/>
  </r>
  <r>
    <m/>
    <x v="0"/>
    <s v="Snack"/>
    <s v="starbucks queen st 0001"/>
    <s v="No"/>
    <n v="9.5"/>
    <x v="2"/>
    <m/>
    <d v="2025-04-18T00:00:00"/>
    <d v="2025-04-20T00:00:00"/>
    <n v="18"/>
    <n v="4"/>
    <n v="2025"/>
    <x v="0"/>
    <x v="3"/>
  </r>
  <r>
    <s v="Wilson Parking CBD"/>
    <x v="1"/>
    <m/>
    <s v="Wilson Parking CBD"/>
    <s v="No"/>
    <n v="64.5"/>
    <x v="1"/>
    <m/>
    <d v="2025-04-01T00:00:00"/>
    <d v="2025-04-01T00:00:00"/>
    <n v="1"/>
    <n v="4"/>
    <n v="2025"/>
    <x v="0"/>
    <x v="4"/>
  </r>
  <r>
    <s v="Z Energy Mt Wellington"/>
    <x v="1"/>
    <s v="Petrol"/>
    <s v="z energy mt wellington"/>
    <s v="No"/>
    <n v="57.49"/>
    <x v="2"/>
    <s v="REF31544"/>
    <d v="2025-04-03T00:00:00"/>
    <d v="2025-04-03T00:00:00"/>
    <n v="3"/>
    <n v="4"/>
    <n v="2025"/>
    <x v="0"/>
    <x v="5"/>
  </r>
  <r>
    <m/>
    <x v="2"/>
    <s v="Home &amp; Garden"/>
    <s v="BUNNINGS MT WGTN AKL"/>
    <s v="No"/>
    <n v="235"/>
    <x v="2"/>
    <m/>
    <d v="2025-04-01T00:00:00"/>
    <d v="2025-04-02T00:00:00"/>
    <n v="1"/>
    <n v="4"/>
    <n v="2025"/>
    <x v="0"/>
    <x v="0"/>
  </r>
  <r>
    <m/>
    <x v="0"/>
    <s v="Takeaway"/>
    <s v="MEXICALI FRESH CBD AKL"/>
    <s v="Yes"/>
    <n v="89.99"/>
    <x v="1"/>
    <s v="PURCHASE 6241"/>
    <d v="2025-04-02T00:00:00"/>
    <d v="2025-04-02T00:00:00"/>
    <n v="2"/>
    <n v="4"/>
    <n v="2025"/>
    <x v="0"/>
    <x v="0"/>
  </r>
  <r>
    <s v="Countdown Mt Eden"/>
    <x v="0"/>
    <m/>
    <s v="Countdown Mt Eden Akl Nz"/>
    <s v="Yes"/>
    <n v="184.5"/>
    <x v="2"/>
    <s v="REF58354"/>
    <d v="2025-04-02T00:00:00"/>
    <d v="2025-04-03T00:00:00"/>
    <n v="2"/>
    <n v="4"/>
    <n v="2025"/>
    <x v="0"/>
    <x v="5"/>
  </r>
  <r>
    <m/>
    <x v="0"/>
    <m/>
    <s v="LITTLE BIRD ORGANICS NZ"/>
    <s v="Yes"/>
    <n v="16"/>
    <x v="2"/>
    <m/>
    <d v="2025-04-03T00:00:00"/>
    <d v="2025-04-05T00:00:00"/>
    <n v="3"/>
    <n v="4"/>
    <n v="2025"/>
    <x v="0"/>
    <x v="1"/>
  </r>
  <r>
    <m/>
    <x v="0"/>
    <s v="Brunch"/>
    <s v="Kokako Cafe Grey Lynn"/>
    <s v="No"/>
    <n v="13"/>
    <x v="0"/>
    <m/>
    <d v="2025-04-05T00:00:00"/>
    <d v="2025-04-05T00:00:00"/>
    <n v="5"/>
    <n v="4"/>
    <n v="2025"/>
    <x v="0"/>
    <x v="1"/>
  </r>
  <r>
    <s v="Flight Coffee"/>
    <x v="0"/>
    <s v="Coffee"/>
    <s v="Flight Coffee"/>
    <m/>
    <n v="13"/>
    <x v="2"/>
    <s v="AUTH 329437"/>
    <d v="2025-04-06T00:00:00"/>
    <d v="2025-04-06T00:00:00"/>
    <n v="6"/>
    <n v="4"/>
    <n v="2025"/>
    <x v="0"/>
    <x v="3"/>
  </r>
  <r>
    <s v="Atomic Coffee Roasters"/>
    <x v="0"/>
    <m/>
    <s v="ATOMIC COFFEE ROASTERS NZ"/>
    <s v="Yes"/>
    <n v="11.5"/>
    <x v="3"/>
    <s v="TXN200575"/>
    <d v="2025-04-10T00:00:00"/>
    <d v="2025-04-12T00:00:00"/>
    <n v="10"/>
    <n v="4"/>
    <n v="2025"/>
    <x v="0"/>
    <x v="1"/>
  </r>
  <r>
    <s v="Flight Coffee"/>
    <x v="0"/>
    <s v="Snack"/>
    <s v="FLIGHT COFFEE AKL CBD"/>
    <s v="Yes"/>
    <n v="9.99"/>
    <x v="2"/>
    <s v="AUTH 794530"/>
    <d v="2025-04-14T00:00:00"/>
    <d v="2025-04-16T00:00:00"/>
    <n v="14"/>
    <n v="4"/>
    <n v="2025"/>
    <x v="0"/>
    <x v="0"/>
  </r>
  <r>
    <s v="Jucy Car Rental"/>
    <x v="1"/>
    <s v="Public Transport"/>
    <s v="jucy rentals nz 0800"/>
    <s v="Yes"/>
    <n v="85.95"/>
    <x v="2"/>
    <m/>
    <d v="2025-04-03T00:00:00"/>
    <d v="2025-04-03T00:00:00"/>
    <n v="3"/>
    <n v="4"/>
    <n v="2025"/>
    <x v="0"/>
    <x v="5"/>
  </r>
  <r>
    <s v="Ola Cabs NZ"/>
    <x v="1"/>
    <s v="Public Transport"/>
    <s v="Ola Cabs NZ"/>
    <s v="Yes"/>
    <n v="81.99"/>
    <x v="3"/>
    <s v="TXN864234"/>
    <d v="2025-04-08T00:00:00"/>
    <d v="2025-04-09T00:00:00"/>
    <n v="8"/>
    <n v="4"/>
    <n v="2025"/>
    <x v="0"/>
    <x v="0"/>
  </r>
  <r>
    <m/>
    <x v="0"/>
    <s v="Sit-down"/>
    <s v="DOORDASH*NZ AUCKLAND"/>
    <s v="No"/>
    <n v="77"/>
    <x v="2"/>
    <m/>
    <d v="2025-04-03T00:00:00"/>
    <d v="2025-04-03T00:00:00"/>
    <n v="3"/>
    <n v="4"/>
    <n v="2025"/>
    <x v="0"/>
    <x v="5"/>
  </r>
  <r>
    <m/>
    <x v="0"/>
    <s v="Delivery"/>
    <s v="DEPOT EATERY AKL CBD"/>
    <s v="No"/>
    <n v="23.49"/>
    <x v="1"/>
    <m/>
    <d v="2025-04-08T00:00:00"/>
    <d v="2025-04-09T00:00:00"/>
    <n v="8"/>
    <n v="4"/>
    <n v="2025"/>
    <x v="0"/>
    <x v="0"/>
  </r>
  <r>
    <m/>
    <x v="0"/>
    <s v="Takeaway"/>
    <s v="MENULOG NZ ORDER#44821"/>
    <s v="Yes"/>
    <n v="12.99"/>
    <x v="0"/>
    <s v="PURCHASE 6754"/>
    <d v="2025-04-09T00:00:00"/>
    <d v="2025-04-09T00:00:00"/>
    <n v="9"/>
    <n v="4"/>
    <n v="2025"/>
    <x v="0"/>
    <x v="0"/>
  </r>
  <r>
    <s v="Burger Fuel Newmarket"/>
    <x v="0"/>
    <m/>
    <s v="Burger Fuel Newmarket"/>
    <s v="Yes"/>
    <n v="47.99"/>
    <x v="2"/>
    <m/>
    <d v="2025-04-12T00:00:00"/>
    <d v="2025-04-12T00:00:00"/>
    <n v="12"/>
    <n v="4"/>
    <n v="2025"/>
    <x v="0"/>
    <x v="1"/>
  </r>
  <r>
    <s v="Unichem Pharmacy Newmkt"/>
    <x v="3"/>
    <s v="Doctor"/>
    <s v="UNICHEM PHARMACY NEWMKT"/>
    <s v="No"/>
    <n v="36.950000000000003"/>
    <x v="2"/>
    <s v="REF32018"/>
    <d v="2025-04-03T00:00:00"/>
    <d v="2025-04-03T00:00:00"/>
    <n v="3"/>
    <n v="4"/>
    <n v="2025"/>
    <x v="0"/>
    <x v="5"/>
  </r>
  <r>
    <m/>
    <x v="3"/>
    <s v="Pharmacy"/>
    <s v="waterworld akl pools"/>
    <s v="Yes"/>
    <n v="176.49"/>
    <x v="3"/>
    <s v="PURCHASE 1568"/>
    <d v="2025-04-12T00:00:00"/>
    <d v="2025-04-13T00:00:00"/>
    <n v="12"/>
    <n v="4"/>
    <n v="2025"/>
    <x v="0"/>
    <x v="3"/>
  </r>
  <r>
    <s v="Burger Fuel Newmarket"/>
    <x v="0"/>
    <m/>
    <s v="Burger Fuel Newmarket Nz"/>
    <s v="No"/>
    <n v="62.5"/>
    <x v="0"/>
    <s v="REF21497"/>
    <d v="2025-04-04T00:00:00"/>
    <d v="2025-04-05T00:00:00"/>
    <n v="4"/>
    <n v="4"/>
    <n v="2025"/>
    <x v="0"/>
    <x v="1"/>
  </r>
  <r>
    <s v="Airbnb NZ"/>
    <x v="1"/>
    <s v="Flights"/>
    <s v="Airbnb * Accommodation"/>
    <s v="Yes"/>
    <n v="471.95"/>
    <x v="3"/>
    <s v="REF51795"/>
    <d v="2025-04-05T00:00:00"/>
    <d v="2025-04-06T00:00:00"/>
    <n v="5"/>
    <n v="4"/>
    <n v="2025"/>
    <x v="0"/>
    <x v="3"/>
  </r>
  <r>
    <s v="DoorDash NZ"/>
    <x v="0"/>
    <m/>
    <s v="DOORDASH*NZ AUCKLAND"/>
    <s v="No"/>
    <n v="21.95"/>
    <x v="1"/>
    <s v="AUTH 205939"/>
    <d v="2025-04-07T00:00:00"/>
    <d v="2025-04-07T00:00:00"/>
    <n v="7"/>
    <n v="4"/>
    <n v="2025"/>
    <x v="0"/>
    <x v="6"/>
  </r>
  <r>
    <s v="BP 2GO Penrose"/>
    <x v="1"/>
    <s v="Petrol"/>
    <s v="Bp 2Go Penrose Akl Nz"/>
    <s v="Yes"/>
    <n v="114"/>
    <x v="2"/>
    <s v="AUTH 197627"/>
    <d v="2025-04-09T00:00:00"/>
    <d v="2025-04-10T00:00:00"/>
    <n v="9"/>
    <n v="4"/>
    <n v="2025"/>
    <x v="0"/>
    <x v="5"/>
  </r>
  <r>
    <m/>
    <x v="4"/>
    <s v="Mobile"/>
    <s v="2degrees mobile nz dd"/>
    <m/>
    <n v="75"/>
    <x v="2"/>
    <m/>
    <d v="2025-04-13T00:00:00"/>
    <d v="2025-04-13T00:00:00"/>
    <n v="13"/>
    <n v="4"/>
    <n v="2025"/>
    <x v="0"/>
    <x v="3"/>
  </r>
  <r>
    <s v="Event Cinemas Sylvia Pk"/>
    <x v="5"/>
    <s v="Cinema"/>
    <s v="EVENT CINEMAS SYLVIA PK"/>
    <s v="No"/>
    <n v="74.489999999999995"/>
    <x v="4"/>
    <m/>
    <d v="2025-04-13T00:00:00"/>
    <d v="2025-04-13T00:00:00"/>
    <n v="13"/>
    <n v="4"/>
    <n v="2025"/>
    <x v="0"/>
    <x v="3"/>
  </r>
  <r>
    <s v="Physio Works NZ"/>
    <x v="6"/>
    <s v="Physio"/>
    <s v="PHYSIO WORKS MT EDEN NZ"/>
    <m/>
    <n v="78"/>
    <x v="4"/>
    <m/>
    <d v="2025-04-13T00:00:00"/>
    <d v="2025-04-13T00:00:00"/>
    <n v="13"/>
    <n v="4"/>
    <n v="2025"/>
    <x v="0"/>
    <x v="3"/>
  </r>
  <r>
    <s v="AA Insurance"/>
    <x v="4"/>
    <s v="Internet"/>
    <s v="AA INSURANCE NZ DD"/>
    <s v="No"/>
    <n v="52.49"/>
    <x v="4"/>
    <m/>
    <d v="2025-04-13T00:00:00"/>
    <d v="2025-04-13T00:00:00"/>
    <n v="13"/>
    <n v="4"/>
    <n v="2025"/>
    <x v="0"/>
    <x v="3"/>
  </r>
  <r>
    <s v="Kokako Cafe Grey Lynn"/>
    <x v="0"/>
    <s v="Snack"/>
    <s v="Kokako Cafe Grey Lynn"/>
    <s v="No"/>
    <n v="15"/>
    <x v="2"/>
    <s v="AUTH 939767"/>
    <d v="2025-04-14T00:00:00"/>
    <d v="2025-04-15T00:00:00"/>
    <n v="14"/>
    <n v="4"/>
    <n v="2025"/>
    <x v="0"/>
    <x v="4"/>
  </r>
  <r>
    <m/>
    <x v="0"/>
    <m/>
    <s v="Kokako Cafe Grey Lynn"/>
    <s v="No"/>
    <n v="15.5"/>
    <x v="2"/>
    <s v="REF88647"/>
    <d v="2025-04-16T00:00:00"/>
    <d v="2025-04-16T00:00:00"/>
    <n v="16"/>
    <n v="4"/>
    <n v="2025"/>
    <x v="0"/>
    <x v="0"/>
  </r>
  <r>
    <s v="Pak'nSave Botany"/>
    <x v="0"/>
    <m/>
    <s v="PAKNSAVE BOTANY NZ"/>
    <s v="No"/>
    <n v="153.49"/>
    <x v="3"/>
    <m/>
    <d v="2025-04-16T00:00:00"/>
    <d v="2025-04-17T00:00:00"/>
    <n v="16"/>
    <n v="4"/>
    <n v="2025"/>
    <x v="0"/>
    <x v="5"/>
  </r>
  <r>
    <s v="Midnight Espresso"/>
    <x v="0"/>
    <s v="Coffee"/>
    <s v="Midnight Espresso Akl"/>
    <s v="No"/>
    <n v="15.49"/>
    <x v="3"/>
    <m/>
    <d v="2025-04-16T00:00:00"/>
    <d v="2025-04-18T00:00:00"/>
    <n v="16"/>
    <n v="4"/>
    <n v="2025"/>
    <x v="0"/>
    <x v="2"/>
  </r>
  <r>
    <s v="Event Cinemas Sylvia Pk"/>
    <x v="5"/>
    <s v="Events"/>
    <s v="EVENT CINEMAS SYLVIA PK"/>
    <s v="No"/>
    <n v="161.49"/>
    <x v="2"/>
    <s v="TXN827213"/>
    <d v="2025-04-17T00:00:00"/>
    <d v="2025-04-17T00:00:00"/>
    <n v="17"/>
    <n v="4"/>
    <n v="2025"/>
    <x v="0"/>
    <x v="5"/>
  </r>
  <r>
    <m/>
    <x v="5"/>
    <s v="Gaming"/>
    <s v="apple.com/nz/bill"/>
    <s v="No"/>
    <n v="119.5"/>
    <x v="2"/>
    <m/>
    <d v="2025-04-18T00:00:00"/>
    <d v="2025-04-20T00:00:00"/>
    <n v="18"/>
    <n v="4"/>
    <n v="2025"/>
    <x v="0"/>
    <x v="3"/>
  </r>
  <r>
    <s v="AA Insurance"/>
    <x v="4"/>
    <s v="Insurance"/>
    <s v="AA INSURANCE NZ DD"/>
    <s v="No"/>
    <n v="189"/>
    <x v="4"/>
    <m/>
    <d v="2025-04-17T00:00:00"/>
    <d v="2025-04-18T00:00:00"/>
    <n v="17"/>
    <n v="4"/>
    <n v="2025"/>
    <x v="0"/>
    <x v="2"/>
  </r>
  <r>
    <s v="Midnight Espresso"/>
    <x v="0"/>
    <s v="Coffee"/>
    <s v="Midnight Espresso Akl"/>
    <s v="No"/>
    <n v="16"/>
    <x v="4"/>
    <m/>
    <d v="2025-04-18T00:00:00"/>
    <d v="2025-04-20T00:00:00"/>
    <n v="18"/>
    <n v="4"/>
    <n v="2025"/>
    <x v="0"/>
    <x v="3"/>
  </r>
  <r>
    <s v="Hell Pizza Online"/>
    <x v="0"/>
    <s v="Takeaway"/>
    <s v="HELL PIZZA ONLINE NZ"/>
    <m/>
    <n v="22"/>
    <x v="0"/>
    <m/>
    <d v="2025-04-20T00:00:00"/>
    <d v="2025-04-20T00:00:00"/>
    <n v="20"/>
    <n v="4"/>
    <n v="2025"/>
    <x v="0"/>
    <x v="3"/>
  </r>
  <r>
    <s v="Les Mills City"/>
    <x v="3"/>
    <s v="Pharmacy"/>
    <s v="Les Mills City"/>
    <s v="Yes"/>
    <n v="29"/>
    <x v="3"/>
    <s v="AUTH 648513"/>
    <d v="2025-04-20T00:00:00"/>
    <d v="2025-04-22T00:00:00"/>
    <n v="20"/>
    <n v="4"/>
    <n v="2025"/>
    <x v="0"/>
    <x v="4"/>
  </r>
  <r>
    <m/>
    <x v="7"/>
    <m/>
    <s v="Studylink Nz Repayment"/>
    <s v="No"/>
    <n v="70"/>
    <x v="4"/>
    <m/>
    <d v="2025-04-21T00:00:00"/>
    <d v="2025-04-23T00:00:00"/>
    <n v="21"/>
    <n v="4"/>
    <n v="2025"/>
    <x v="0"/>
    <x v="0"/>
  </r>
  <r>
    <s v="Depot Eatery"/>
    <x v="0"/>
    <s v="Fine Dining"/>
    <s v="DEPOT EATERY AKL CBD"/>
    <s v="Yes"/>
    <n v="48"/>
    <x v="4"/>
    <s v="REF75191"/>
    <d v="2025-04-21T00:00:00"/>
    <d v="2025-04-22T00:00:00"/>
    <n v="21"/>
    <n v="4"/>
    <n v="2025"/>
    <x v="0"/>
    <x v="4"/>
  </r>
  <r>
    <m/>
    <x v="4"/>
    <s v="Electricity"/>
    <s v="state insurance nz dd"/>
    <s v="Yes"/>
    <n v="101.95"/>
    <x v="2"/>
    <m/>
    <d v="2025-04-21T00:00:00"/>
    <d v="2025-04-22T00:00:00"/>
    <n v="21"/>
    <n v="4"/>
    <n v="2025"/>
    <x v="0"/>
    <x v="4"/>
  </r>
  <r>
    <s v="Wilson Parking CBD"/>
    <x v="1"/>
    <s v="Public Transport"/>
    <s v="WILSON PARKING CBD AKL"/>
    <s v="No"/>
    <n v="65"/>
    <x v="4"/>
    <m/>
    <d v="2025-04-22T00:00:00"/>
    <d v="2025-04-22T00:00:00"/>
    <n v="22"/>
    <n v="4"/>
    <n v="2025"/>
    <x v="0"/>
    <x v="4"/>
  </r>
  <r>
    <s v="Midnight Espresso"/>
    <x v="0"/>
    <s v="Brunch"/>
    <s v="MIDNIGHT ESPRESSO AKL"/>
    <s v="Yes"/>
    <n v="6"/>
    <x v="4"/>
    <s v="PURCHASE 1071"/>
    <d v="2025-04-23T00:00:00"/>
    <d v="2025-04-24T00:00:00"/>
    <n v="23"/>
    <n v="4"/>
    <n v="2025"/>
    <x v="0"/>
    <x v="5"/>
  </r>
  <r>
    <s v="Wilson Parking CBD"/>
    <x v="1"/>
    <s v="Public Transport"/>
    <s v="Wilson Parking Cbd Akl"/>
    <s v="Yes"/>
    <n v="106.49"/>
    <x v="1"/>
    <s v="PURCHASE 3185"/>
    <d v="2025-04-23T00:00:00"/>
    <d v="2025-04-24T00:00:00"/>
    <n v="23"/>
    <n v="4"/>
    <n v="2025"/>
    <x v="0"/>
    <x v="5"/>
  </r>
  <r>
    <m/>
    <x v="1"/>
    <s v="Petrol"/>
    <s v="Aa Membership Annual Nz"/>
    <m/>
    <n v="44"/>
    <x v="1"/>
    <m/>
    <d v="2025-04-25T00:00:00"/>
    <d v="2025-04-27T00:00:00"/>
    <n v="25"/>
    <n v="4"/>
    <n v="2025"/>
    <x v="0"/>
    <x v="3"/>
  </r>
  <r>
    <s v="University of Auckland"/>
    <x v="7"/>
    <s v="University"/>
    <s v="Univ Of Auckland Fee"/>
    <s v="No"/>
    <n v="637.49"/>
    <x v="3"/>
    <s v="PURCHASE 7349"/>
    <d v="2025-04-25T00:00:00"/>
    <d v="2025-04-27T00:00:00"/>
    <n v="25"/>
    <n v="4"/>
    <n v="2025"/>
    <x v="0"/>
    <x v="3"/>
  </r>
  <r>
    <m/>
    <x v="5"/>
    <s v="Cinema"/>
    <s v="steamgames.com nz"/>
    <s v="No"/>
    <n v="108.49"/>
    <x v="3"/>
    <s v="PURCHASE 3906"/>
    <d v="2025-04-26T00:00:00"/>
    <d v="2025-04-28T00:00:00"/>
    <n v="26"/>
    <n v="4"/>
    <n v="2025"/>
    <x v="0"/>
    <x v="6"/>
  </r>
  <r>
    <s v="Starbucks Queen St"/>
    <x v="0"/>
    <s v="Brunch"/>
    <s v="STARBUCKS QUEEN ST 0001"/>
    <s v="Yes"/>
    <n v="10"/>
    <x v="2"/>
    <s v="AUTH 153325"/>
    <d v="2025-04-26T00:00:00"/>
    <d v="2025-04-26T00:00:00"/>
    <n v="26"/>
    <n v="4"/>
    <n v="2025"/>
    <x v="0"/>
    <x v="1"/>
  </r>
  <r>
    <m/>
    <x v="4"/>
    <s v="Mobile"/>
    <s v="MERCURY ENERGY DD NZ"/>
    <s v="No"/>
    <n v="261.99"/>
    <x v="1"/>
    <s v="TXN795556"/>
    <d v="2025-04-27T00:00:00"/>
    <d v="2025-04-27T00:00:00"/>
    <n v="27"/>
    <n v="4"/>
    <n v="2025"/>
    <x v="0"/>
    <x v="3"/>
  </r>
  <r>
    <s v="State Insurance"/>
    <x v="4"/>
    <s v="Electricity"/>
    <s v="STATE INSURANCE NZ DD"/>
    <s v="No"/>
    <n v="47.49"/>
    <x v="0"/>
    <s v="TXN663876"/>
    <d v="2025-04-29T00:00:00"/>
    <d v="2025-05-01T00:00:00"/>
    <n v="29"/>
    <n v="4"/>
    <n v="2025"/>
    <x v="0"/>
    <x v="5"/>
  </r>
  <r>
    <m/>
    <x v="0"/>
    <s v="Weekly Shop"/>
    <s v="Paknsave Mangere Akl Nz"/>
    <s v="Yes"/>
    <n v="170.49"/>
    <x v="0"/>
    <s v="PURCHASE 7626"/>
    <d v="2025-04-29T00:00:00"/>
    <d v="2025-04-30T00:00:00"/>
    <n v="29"/>
    <n v="4"/>
    <n v="2025"/>
    <x v="0"/>
    <x v="0"/>
  </r>
  <r>
    <s v="New World Ponsonby"/>
    <x v="0"/>
    <s v="Bulk Buy"/>
    <s v="NEW WORLD PONSONBY AUCKL"/>
    <m/>
    <n v="196.5"/>
    <x v="2"/>
    <m/>
    <d v="2025-04-30T00:00:00"/>
    <d v="2025-05-02T00:00:00"/>
    <n v="30"/>
    <n v="4"/>
    <n v="2025"/>
    <x v="0"/>
    <x v="2"/>
  </r>
  <r>
    <m/>
    <x v="1"/>
    <s v="Accommodation"/>
    <s v="airbnb * accommodation"/>
    <s v="No"/>
    <n v="548.95000000000005"/>
    <x v="4"/>
    <m/>
    <d v="2025-02-01T00:00:00"/>
    <d v="2025-02-03T00:00:00"/>
    <n v="1"/>
    <n v="2"/>
    <n v="2025"/>
    <x v="1"/>
    <x v="6"/>
  </r>
  <r>
    <s v="Wilson Parking CBD"/>
    <x v="1"/>
    <s v="Taxi/Rideshare"/>
    <s v="wilson parking cbd akl"/>
    <m/>
    <n v="6.49"/>
    <x v="4"/>
    <m/>
    <d v="2025-02-01T00:00:00"/>
    <d v="2025-02-01T00:00:00"/>
    <n v="1"/>
    <n v="2"/>
    <n v="2025"/>
    <x v="1"/>
    <x v="1"/>
  </r>
  <r>
    <s v="Auckland Zoo"/>
    <x v="5"/>
    <s v="Cinema"/>
    <s v="Auckland Zoo Admission"/>
    <s v="No"/>
    <n v="166"/>
    <x v="3"/>
    <m/>
    <d v="2025-02-02T00:00:00"/>
    <d v="2025-02-02T00:00:00"/>
    <n v="2"/>
    <n v="2"/>
    <n v="2025"/>
    <x v="1"/>
    <x v="3"/>
  </r>
  <r>
    <s v="Zara Queen St"/>
    <x v="2"/>
    <s v="Online"/>
    <s v="zara queen st auckland"/>
    <m/>
    <n v="157.99"/>
    <x v="1"/>
    <m/>
    <d v="2025-02-02T00:00:00"/>
    <d v="2025-02-03T00:00:00"/>
    <n v="2"/>
    <n v="2"/>
    <n v="2025"/>
    <x v="1"/>
    <x v="6"/>
  </r>
  <r>
    <s v="AA Membership"/>
    <x v="1"/>
    <s v="Petrol"/>
    <s v="AA MEMBERSHIP ANNUAL NZ"/>
    <s v="No"/>
    <n v="103.95"/>
    <x v="4"/>
    <s v="AUTH 171744"/>
    <d v="2025-02-03T00:00:00"/>
    <d v="2025-02-05T00:00:00"/>
    <n v="3"/>
    <n v="2"/>
    <n v="2025"/>
    <x v="1"/>
    <x v="0"/>
  </r>
  <r>
    <m/>
    <x v="1"/>
    <s v="Petrol"/>
    <s v="Jucy Rentals Nz 0800"/>
    <s v="No"/>
    <n v="38.99"/>
    <x v="2"/>
    <s v="AUTH 881369"/>
    <d v="2025-02-06T00:00:00"/>
    <d v="2025-02-07T00:00:00"/>
    <n v="6"/>
    <n v="2"/>
    <n v="2025"/>
    <x v="1"/>
    <x v="2"/>
  </r>
  <r>
    <s v="New World Ponsonby"/>
    <x v="0"/>
    <s v="Top-up"/>
    <s v="New World Ponsonby Auckl"/>
    <m/>
    <n v="169.95"/>
    <x v="2"/>
    <m/>
    <d v="2025-02-06T00:00:00"/>
    <d v="2025-02-08T00:00:00"/>
    <n v="6"/>
    <n v="2"/>
    <n v="2025"/>
    <x v="1"/>
    <x v="1"/>
  </r>
  <r>
    <m/>
    <x v="2"/>
    <s v="Clothing"/>
    <s v="amazon.com.au*nz12345"/>
    <s v="No"/>
    <n v="141"/>
    <x v="2"/>
    <m/>
    <d v="2025-02-06T00:00:00"/>
    <d v="2025-02-07T00:00:00"/>
    <n v="6"/>
    <n v="2"/>
    <n v="2025"/>
    <x v="1"/>
    <x v="2"/>
  </r>
  <r>
    <m/>
    <x v="0"/>
    <s v="Coffee"/>
    <s v="starbucks queen st 0001"/>
    <s v="No"/>
    <n v="16.22"/>
    <x v="1"/>
    <m/>
    <d v="2025-02-09T00:00:00"/>
    <d v="2025-02-09T00:00:00"/>
    <n v="9"/>
    <n v="2"/>
    <n v="2025"/>
    <x v="1"/>
    <x v="3"/>
  </r>
  <r>
    <s v="Ola Cabs NZ"/>
    <x v="1"/>
    <s v="Parking"/>
    <s v="OLA CABS NZ RIDE #8812"/>
    <s v="No"/>
    <n v="118.49"/>
    <x v="3"/>
    <m/>
    <d v="2025-02-10T00:00:00"/>
    <d v="2025-02-10T00:00:00"/>
    <n v="10"/>
    <n v="2"/>
    <n v="2025"/>
    <x v="1"/>
    <x v="6"/>
  </r>
  <r>
    <s v="UberEats NZ"/>
    <x v="0"/>
    <s v="Fine Dining"/>
    <s v="ubereats* nz 8008675309"/>
    <s v="No"/>
    <n v="83.95"/>
    <x v="1"/>
    <s v="TXN378258"/>
    <d v="2025-02-11T00:00:00"/>
    <d v="2025-02-11T00:00:00"/>
    <n v="11"/>
    <n v="2"/>
    <n v="2025"/>
    <x v="1"/>
    <x v="4"/>
  </r>
  <r>
    <s v="Watercare Auckland"/>
    <x v="4"/>
    <s v="Water"/>
    <s v="Watercare Auckland"/>
    <s v="Yes"/>
    <n v="304.5"/>
    <x v="2"/>
    <s v="PURCHASE 7580"/>
    <d v="2025-02-11T00:00:00"/>
    <d v="2025-02-12T00:00:00"/>
    <n v="11"/>
    <n v="2"/>
    <n v="2025"/>
    <x v="1"/>
    <x v="0"/>
  </r>
  <r>
    <s v="Nail Bar Sylvia Pk"/>
    <x v="8"/>
    <m/>
    <s v="nail bar sylvia park"/>
    <s v="No"/>
    <n v="90.5"/>
    <x v="0"/>
    <m/>
    <d v="2025-02-11T00:00:00"/>
    <d v="2025-02-12T00:00:00"/>
    <n v="11"/>
    <n v="2"/>
    <n v="2025"/>
    <x v="1"/>
    <x v="0"/>
  </r>
  <r>
    <s v="Glassons Sylvia Pk"/>
    <x v="2"/>
    <s v="Clothing"/>
    <s v="Glassons Sylvia Pk"/>
    <s v="Yes"/>
    <n v="194.99"/>
    <x v="3"/>
    <s v="TXN820184"/>
    <d v="2025-02-11T00:00:00"/>
    <d v="2025-02-12T00:00:00"/>
    <n v="11"/>
    <n v="2"/>
    <n v="2025"/>
    <x v="1"/>
    <x v="0"/>
  </r>
  <r>
    <m/>
    <x v="7"/>
    <s v="Books"/>
    <s v="studylink nz repayment"/>
    <s v="No"/>
    <n v="296.95"/>
    <x v="0"/>
    <m/>
    <d v="2025-02-11T00:00:00"/>
    <d v="2025-02-13T00:00:00"/>
    <n v="11"/>
    <n v="2"/>
    <n v="2025"/>
    <x v="1"/>
    <x v="5"/>
  </r>
  <r>
    <s v="Hoyts Botany"/>
    <x v="5"/>
    <s v="Streaming"/>
    <s v="HOYTS BOTANY AUCKLAND"/>
    <s v="No"/>
    <n v="138.99"/>
    <x v="2"/>
    <s v="REF33647"/>
    <d v="2025-02-12T00:00:00"/>
    <d v="2025-02-14T00:00:00"/>
    <n v="12"/>
    <n v="2"/>
    <n v="2025"/>
    <x v="1"/>
    <x v="2"/>
  </r>
  <r>
    <s v="Auckland DHB"/>
    <x v="6"/>
    <s v="Gym"/>
    <s v="AUCKLAND DHB PAYMENT"/>
    <s v="No"/>
    <n v="157.49"/>
    <x v="2"/>
    <s v="PURCHASE 2816"/>
    <d v="2025-02-13T00:00:00"/>
    <d v="2025-02-15T00:00:00"/>
    <n v="13"/>
    <n v="2"/>
    <n v="2025"/>
    <x v="1"/>
    <x v="1"/>
  </r>
  <r>
    <m/>
    <x v="0"/>
    <s v="Fresh Produce"/>
    <s v="HARRIS FARM MKT AUCKLAND"/>
    <s v="No"/>
    <n v="78.989999999999995"/>
    <x v="0"/>
    <s v="REF63088"/>
    <d v="2025-02-14T00:00:00"/>
    <d v="2025-02-16T00:00:00"/>
    <n v="14"/>
    <n v="2"/>
    <n v="2025"/>
    <x v="1"/>
    <x v="3"/>
  </r>
  <r>
    <m/>
    <x v="5"/>
    <s v="Cinema"/>
    <s v="Sky TV NZ"/>
    <s v="No"/>
    <n v="59.95"/>
    <x v="2"/>
    <m/>
    <d v="2025-02-14T00:00:00"/>
    <d v="2025-02-14T00:00:00"/>
    <n v="14"/>
    <n v="2"/>
    <n v="2025"/>
    <x v="1"/>
    <x v="2"/>
  </r>
  <r>
    <s v="Pak'nSave Māngere"/>
    <x v="0"/>
    <m/>
    <s v="Pak'nSave Māngere"/>
    <s v="No"/>
    <n v="200.63"/>
    <x v="4"/>
    <m/>
    <d v="2025-02-15T00:00:00"/>
    <d v="2025-02-17T00:00:00"/>
    <n v="15"/>
    <n v="2"/>
    <n v="2025"/>
    <x v="1"/>
    <x v="6"/>
  </r>
  <r>
    <s v="Bunnings Mt Wellington"/>
    <x v="2"/>
    <s v="Clothing"/>
    <s v="BUNNINGS MT WGTN AKL"/>
    <s v="No"/>
    <n v="28.5"/>
    <x v="2"/>
    <s v="PURCHASE 1672"/>
    <d v="2025-02-15T00:00:00"/>
    <d v="2025-02-15T00:00:00"/>
    <n v="15"/>
    <n v="2"/>
    <n v="2025"/>
    <x v="1"/>
    <x v="1"/>
  </r>
  <r>
    <s v="New World Ponsonby"/>
    <x v="0"/>
    <s v="Top-up"/>
    <s v="NEW WORLD PONSONBY AUCKL"/>
    <s v="No"/>
    <n v="77.95"/>
    <x v="3"/>
    <s v="TXN262471"/>
    <d v="2025-02-16T00:00:00"/>
    <d v="2025-02-17T00:00:00"/>
    <n v="16"/>
    <n v="2"/>
    <n v="2025"/>
    <x v="1"/>
    <x v="6"/>
  </r>
  <r>
    <s v="Mexicali Fresh CBD"/>
    <x v="0"/>
    <s v="Fast Food"/>
    <s v="MEXICALI FRESH CBD AKL"/>
    <s v="No"/>
    <n v="27"/>
    <x v="4"/>
    <s v="PURCHASE 6968"/>
    <d v="2025-02-16T00:00:00"/>
    <d v="2025-02-18T00:00:00"/>
    <n v="16"/>
    <n v="2"/>
    <n v="2025"/>
    <x v="1"/>
    <x v="4"/>
  </r>
  <r>
    <s v="Midnight Espresso"/>
    <x v="0"/>
    <s v="Coffee"/>
    <s v="MIDNIGHT ESPRESSO AKL"/>
    <s v="No"/>
    <n v="16.57"/>
    <x v="3"/>
    <s v="AUTH 653081"/>
    <d v="2025-02-17T00:00:00"/>
    <d v="2025-02-18T00:00:00"/>
    <n v="17"/>
    <n v="2"/>
    <n v="2025"/>
    <x v="1"/>
    <x v="4"/>
  </r>
  <r>
    <s v="Mercury Energy"/>
    <x v="4"/>
    <s v="Internet"/>
    <s v="MERCURY ENERGY DD NZ"/>
    <s v="No"/>
    <n v="123.5"/>
    <x v="2"/>
    <s v="REF39102"/>
    <d v="2025-02-17T00:00:00"/>
    <d v="2025-02-18T00:00:00"/>
    <n v="17"/>
    <n v="2"/>
    <n v="2025"/>
    <x v="1"/>
    <x v="4"/>
  </r>
  <r>
    <s v="Ponsonby Central Food"/>
    <x v="0"/>
    <m/>
    <s v="ponsonby central food nz"/>
    <s v="No"/>
    <n v="90.99"/>
    <x v="3"/>
    <m/>
    <d v="2025-02-19T00:00:00"/>
    <d v="2025-02-19T00:00:00"/>
    <n v="19"/>
    <n v="2"/>
    <n v="2025"/>
    <x v="1"/>
    <x v="0"/>
  </r>
  <r>
    <s v="Mojo Coffee Airport"/>
    <x v="0"/>
    <m/>
    <s v="Mojo Coffee Akl Airport"/>
    <s v="Yes"/>
    <n v="9.9499999999999993"/>
    <x v="0"/>
    <m/>
    <d v="2025-02-19T00:00:00"/>
    <d v="2025-02-19T00:00:00"/>
    <n v="19"/>
    <n v="2"/>
    <n v="2025"/>
    <x v="1"/>
    <x v="0"/>
  </r>
  <r>
    <s v="Ticketmaster NZ"/>
    <x v="5"/>
    <s v="Gaming"/>
    <s v="TICKETMASTER NZ ONLINE"/>
    <s v="No"/>
    <n v="50"/>
    <x v="3"/>
    <m/>
    <d v="2025-02-19T00:00:00"/>
    <d v="2025-02-20T00:00:00"/>
    <n v="19"/>
    <n v="2"/>
    <n v="2025"/>
    <x v="1"/>
    <x v="5"/>
  </r>
  <r>
    <s v="Hell Pizza Online"/>
    <x v="0"/>
    <s v="Delivery"/>
    <s v="HELL PIZZA ONLINE NZ"/>
    <s v="No"/>
    <n v="71"/>
    <x v="3"/>
    <m/>
    <d v="2025-02-19T00:00:00"/>
    <d v="2025-02-20T00:00:00"/>
    <n v="19"/>
    <n v="2"/>
    <n v="2025"/>
    <x v="1"/>
    <x v="5"/>
  </r>
  <r>
    <m/>
    <x v="0"/>
    <s v="Top-up"/>
    <s v="harris farm mkt auckland"/>
    <s v="No"/>
    <n v="143.94999999999999"/>
    <x v="0"/>
    <s v="PURCHASE 6554"/>
    <d v="2025-02-21T00:00:00"/>
    <d v="2025-02-22T00:00:00"/>
    <n v="21"/>
    <n v="2"/>
    <n v="2025"/>
    <x v="1"/>
    <x v="1"/>
  </r>
  <r>
    <m/>
    <x v="1"/>
    <s v="Parking"/>
    <s v="AT HOP AUTO TOPUP 83992"/>
    <m/>
    <n v="14.5"/>
    <x v="0"/>
    <m/>
    <d v="2025-02-21T00:00:00"/>
    <d v="2025-02-22T00:00:00"/>
    <n v="21"/>
    <n v="2"/>
    <n v="2025"/>
    <x v="1"/>
    <x v="1"/>
  </r>
  <r>
    <s v="Burger Fuel Newmarket"/>
    <x v="0"/>
    <s v="Fast Food"/>
    <s v="burger fuel newmarket nz"/>
    <s v="No"/>
    <n v="23.61"/>
    <x v="2"/>
    <s v="TXN916332"/>
    <d v="2025-02-22T00:00:00"/>
    <d v="2025-02-22T00:00:00"/>
    <n v="22"/>
    <n v="2"/>
    <n v="2025"/>
    <x v="1"/>
    <x v="1"/>
  </r>
  <r>
    <m/>
    <x v="8"/>
    <m/>
    <s v="smith caughey beauty"/>
    <s v="Yes"/>
    <n v="72.5"/>
    <x v="2"/>
    <m/>
    <d v="2025-02-22T00:00:00"/>
    <d v="2025-02-22T00:00:00"/>
    <n v="22"/>
    <n v="2"/>
    <n v="2025"/>
    <x v="1"/>
    <x v="1"/>
  </r>
  <r>
    <s v="Hell Pizza Online"/>
    <x v="0"/>
    <s v="Sit-down"/>
    <s v="HELL PIZZA ONLINE NZ"/>
    <s v="Yes"/>
    <n v="49.89"/>
    <x v="1"/>
    <m/>
    <d v="2025-02-22T00:00:00"/>
    <d v="2025-02-22T00:00:00"/>
    <n v="22"/>
    <n v="2"/>
    <n v="2025"/>
    <x v="1"/>
    <x v="1"/>
  </r>
  <r>
    <s v="Mojo Coffee Airport"/>
    <x v="0"/>
    <s v="Coffee"/>
    <s v="mojo coffee akl airport"/>
    <s v="Yes"/>
    <n v="8.9499999999999993"/>
    <x v="1"/>
    <m/>
    <d v="2025-02-22T00:00:00"/>
    <d v="2025-02-24T00:00:00"/>
    <n v="22"/>
    <n v="2"/>
    <n v="2025"/>
    <x v="1"/>
    <x v="6"/>
  </r>
  <r>
    <s v="AA Membership"/>
    <x v="1"/>
    <s v="Parking"/>
    <s v="AA Membership"/>
    <s v="No"/>
    <n v="13.95"/>
    <x v="2"/>
    <s v="PURCHASE 9238"/>
    <d v="2025-02-23T00:00:00"/>
    <d v="2025-02-23T00:00:00"/>
    <n v="23"/>
    <n v="2"/>
    <n v="2025"/>
    <x v="1"/>
    <x v="3"/>
  </r>
  <r>
    <s v="Spark NZ Broadband"/>
    <x v="4"/>
    <s v="Electricity"/>
    <s v="Spark Nz Broadband Dd"/>
    <s v="Yes"/>
    <n v="277.5"/>
    <x v="3"/>
    <s v="AUTH 772124"/>
    <d v="2025-02-25T00:00:00"/>
    <d v="2025-02-25T00:00:00"/>
    <n v="25"/>
    <n v="2"/>
    <n v="2025"/>
    <x v="1"/>
    <x v="4"/>
  </r>
  <r>
    <s v="Auckland DHB"/>
    <x v="3"/>
    <s v="Gym"/>
    <s v="Auckland DHB"/>
    <s v="Yes"/>
    <n v="124"/>
    <x v="1"/>
    <s v="PURCHASE 3142"/>
    <d v="2025-02-25T00:00:00"/>
    <d v="2025-02-26T00:00:00"/>
    <n v="25"/>
    <n v="2"/>
    <n v="2025"/>
    <x v="1"/>
    <x v="0"/>
  </r>
  <r>
    <s v="Sky TV NZ"/>
    <x v="5"/>
    <s v="Cinema"/>
    <s v="sky tv nz monthly sub"/>
    <s v="Yes"/>
    <n v="113"/>
    <x v="1"/>
    <m/>
    <d v="2025-02-25T00:00:00"/>
    <d v="2025-02-26T00:00:00"/>
    <n v="25"/>
    <n v="2"/>
    <n v="2025"/>
    <x v="1"/>
    <x v="0"/>
  </r>
  <r>
    <m/>
    <x v="0"/>
    <s v="Bulk Buy"/>
    <s v="Countdown Sylvia Pk Auckland"/>
    <s v="No"/>
    <n v="72.599999999999994"/>
    <x v="2"/>
    <s v="PURCHASE 3194"/>
    <d v="2025-02-25T00:00:00"/>
    <d v="2025-02-26T00:00:00"/>
    <n v="25"/>
    <n v="2"/>
    <n v="2025"/>
    <x v="1"/>
    <x v="0"/>
  </r>
  <r>
    <s v="Skinny Mobile NZ"/>
    <x v="4"/>
    <s v="Electricity"/>
    <s v="skinny mobile nz dd"/>
    <s v="Yes"/>
    <n v="255"/>
    <x v="2"/>
    <m/>
    <d v="2025-02-27T00:00:00"/>
    <d v="2025-02-27T00:00:00"/>
    <n v="27"/>
    <n v="2"/>
    <n v="2025"/>
    <x v="1"/>
    <x v="5"/>
  </r>
  <r>
    <s v="Mobil Greenlane"/>
    <x v="1"/>
    <s v="Parking"/>
    <s v="mobil greenlane akl nz"/>
    <s v="Yes"/>
    <n v="64"/>
    <x v="1"/>
    <s v="PURCHASE 5902"/>
    <d v="2025-02-27T00:00:00"/>
    <d v="2025-02-28T00:00:00"/>
    <n v="27"/>
    <n v="2"/>
    <n v="2025"/>
    <x v="1"/>
    <x v="2"/>
  </r>
  <r>
    <s v="iHealth Clinic NZ"/>
    <x v="6"/>
    <s v="Physio"/>
    <s v="Ihealth Clinic Akl"/>
    <s v="Yes"/>
    <n v="87"/>
    <x v="4"/>
    <m/>
    <d v="2025-02-27T00:00:00"/>
    <d v="2025-03-01T00:00:00"/>
    <n v="27"/>
    <n v="2"/>
    <n v="2025"/>
    <x v="1"/>
    <x v="1"/>
  </r>
  <r>
    <s v="Starbucks Queen St"/>
    <x v="0"/>
    <s v="Brunch"/>
    <s v="STARBUCKS QUEEN ST 0001"/>
    <s v="No"/>
    <n v="14.49"/>
    <x v="4"/>
    <s v="PURCHASE 3481"/>
    <d v="2025-02-27T00:00:00"/>
    <d v="2025-02-27T00:00:00"/>
    <n v="27"/>
    <n v="2"/>
    <n v="2025"/>
    <x v="1"/>
    <x v="5"/>
  </r>
  <r>
    <s v="Mitre 10 Mega Glenfield"/>
    <x v="2"/>
    <m/>
    <s v="MITRE10 MEGA GLENFIELD"/>
    <s v="No"/>
    <n v="177.95"/>
    <x v="1"/>
    <m/>
    <d v="2025-02-27T00:00:00"/>
    <d v="2025-03-01T00:00:00"/>
    <n v="27"/>
    <n v="2"/>
    <n v="2025"/>
    <x v="1"/>
    <x v="1"/>
  </r>
  <r>
    <s v="BP 2GO Penrose"/>
    <x v="1"/>
    <s v="Parking"/>
    <s v="bp 2go penrose akl nz"/>
    <s v="No"/>
    <n v="86.69"/>
    <x v="4"/>
    <s v="AUTH 934042"/>
    <d v="2025-02-28T00:00:00"/>
    <d v="2025-03-01T00:00:00"/>
    <n v="28"/>
    <n v="2"/>
    <n v="2025"/>
    <x v="1"/>
    <x v="1"/>
  </r>
  <r>
    <m/>
    <x v="0"/>
    <s v="Takeaway"/>
    <s v="Nandos Botany Auckland Nz"/>
    <s v="Yes"/>
    <n v="88.65"/>
    <x v="3"/>
    <s v="AUTH 829988"/>
    <d v="2025-02-28T00:00:00"/>
    <d v="2025-02-28T00:00:00"/>
    <n v="28"/>
    <n v="2"/>
    <n v="2025"/>
    <x v="1"/>
    <x v="2"/>
  </r>
  <r>
    <s v="Menulog NZ"/>
    <x v="0"/>
    <s v="Takeaway"/>
    <s v="MENULOG NZ ORDER#44821"/>
    <s v="Yes"/>
    <n v="47.49"/>
    <x v="2"/>
    <s v="PURCHASE 2584"/>
    <d v="2025-01-01T00:00:00"/>
    <d v="2025-01-02T00:00:00"/>
    <n v="1"/>
    <n v="1"/>
    <n v="2025"/>
    <x v="2"/>
    <x v="5"/>
  </r>
  <r>
    <s v="Farmers Mt Eden"/>
    <x v="2"/>
    <m/>
    <s v="FARMERS MT EDEN AKL NZ"/>
    <s v="Yes"/>
    <n v="128.5"/>
    <x v="0"/>
    <m/>
    <d v="2025-01-02T00:00:00"/>
    <d v="2025-01-04T00:00:00"/>
    <n v="2"/>
    <n v="1"/>
    <n v="2025"/>
    <x v="2"/>
    <x v="1"/>
  </r>
  <r>
    <s v="Spotify NZ"/>
    <x v="5"/>
    <m/>
    <s v="Spotify NZ"/>
    <s v="Yes"/>
    <n v="179"/>
    <x v="2"/>
    <m/>
    <d v="2025-01-03T00:00:00"/>
    <d v="2025-01-05T00:00:00"/>
    <n v="3"/>
    <n v="1"/>
    <n v="2025"/>
    <x v="2"/>
    <x v="3"/>
  </r>
  <r>
    <m/>
    <x v="1"/>
    <s v="Petrol"/>
    <s v="AA MEMBERSHIP ANNUAL NZ"/>
    <s v="No"/>
    <n v="63.95"/>
    <x v="2"/>
    <s v="PURCHASE 1319"/>
    <d v="2025-01-03T00:00:00"/>
    <d v="2025-01-03T00:00:00"/>
    <n v="3"/>
    <n v="1"/>
    <n v="2025"/>
    <x v="2"/>
    <x v="2"/>
  </r>
  <r>
    <s v="Vector Lines"/>
    <x v="4"/>
    <s v="Water"/>
    <s v="Vector Lines Nz 0800"/>
    <s v="No"/>
    <n v="80"/>
    <x v="0"/>
    <s v="AUTH 891952"/>
    <d v="2025-01-04T00:00:00"/>
    <d v="2025-01-05T00:00:00"/>
    <n v="4"/>
    <n v="1"/>
    <n v="2025"/>
    <x v="2"/>
    <x v="3"/>
  </r>
  <r>
    <m/>
    <x v="0"/>
    <m/>
    <s v="Paknsave Botany Nz"/>
    <s v="Yes"/>
    <n v="124"/>
    <x v="2"/>
    <s v="REF14117"/>
    <d v="2025-01-05T00:00:00"/>
    <d v="2025-01-05T00:00:00"/>
    <n v="5"/>
    <n v="1"/>
    <n v="2025"/>
    <x v="2"/>
    <x v="3"/>
  </r>
  <r>
    <s v="Unichem Pharmacy Newmkt"/>
    <x v="3"/>
    <s v="Physio"/>
    <s v="unichem pharmacy newmkt"/>
    <s v="Yes"/>
    <n v="80"/>
    <x v="2"/>
    <m/>
    <d v="2025-01-07T00:00:00"/>
    <d v="2025-01-08T00:00:00"/>
    <n v="7"/>
    <n v="1"/>
    <n v="2025"/>
    <x v="2"/>
    <x v="0"/>
  </r>
  <r>
    <s v="Spark Arena Tickets"/>
    <x v="5"/>
    <s v="Cinema"/>
    <s v="Spark Arena Akl Tickets"/>
    <s v="Yes"/>
    <n v="167.5"/>
    <x v="4"/>
    <s v="TXN411120"/>
    <d v="2025-01-08T00:00:00"/>
    <d v="2025-01-09T00:00:00"/>
    <n v="8"/>
    <n v="1"/>
    <n v="2025"/>
    <x v="2"/>
    <x v="5"/>
  </r>
  <r>
    <s v="Mercury Energy"/>
    <x v="4"/>
    <s v="Water"/>
    <s v="Mercury Energy Dd Nz"/>
    <s v="Yes"/>
    <n v="279"/>
    <x v="3"/>
    <s v="REF84668"/>
    <d v="2025-01-08T00:00:00"/>
    <d v="2025-01-10T00:00:00"/>
    <n v="8"/>
    <n v="1"/>
    <n v="2025"/>
    <x v="2"/>
    <x v="2"/>
  </r>
  <r>
    <s v="Ola Cabs NZ"/>
    <x v="1"/>
    <s v="Parking"/>
    <s v="Ola Cabs NZ"/>
    <s v="Yes"/>
    <n v="35.5"/>
    <x v="1"/>
    <s v="REF70068"/>
    <d v="2025-01-08T00:00:00"/>
    <d v="2025-01-09T00:00:00"/>
    <n v="8"/>
    <n v="1"/>
    <n v="2025"/>
    <x v="2"/>
    <x v="5"/>
  </r>
  <r>
    <m/>
    <x v="6"/>
    <s v="Insurance"/>
    <s v="Skinny Dip Pools"/>
    <s v="No"/>
    <n v="180"/>
    <x v="3"/>
    <s v="TXN377312"/>
    <d v="2025-01-08T00:00:00"/>
    <d v="2025-01-10T00:00:00"/>
    <n v="8"/>
    <n v="1"/>
    <n v="2025"/>
    <x v="2"/>
    <x v="2"/>
  </r>
  <r>
    <m/>
    <x v="0"/>
    <m/>
    <s v="COUNTDOWN SYLVIA PK AUCKLAND"/>
    <s v="No"/>
    <n v="139"/>
    <x v="1"/>
    <m/>
    <d v="2025-01-09T00:00:00"/>
    <d v="2025-01-09T00:00:00"/>
    <n v="9"/>
    <n v="1"/>
    <n v="2025"/>
    <x v="2"/>
    <x v="5"/>
  </r>
  <r>
    <s v="Spotify NZ"/>
    <x v="5"/>
    <s v="Cinema"/>
    <s v="spotify nz 0800"/>
    <s v="No"/>
    <n v="102"/>
    <x v="1"/>
    <m/>
    <d v="2025-01-09T00:00:00"/>
    <d v="2025-01-10T00:00:00"/>
    <n v="9"/>
    <n v="1"/>
    <n v="2025"/>
    <x v="2"/>
    <x v="2"/>
  </r>
  <r>
    <s v="Little Bird Organics"/>
    <x v="0"/>
    <s v="Brunch"/>
    <s v="little bird organics nz"/>
    <m/>
    <n v="4.95"/>
    <x v="3"/>
    <s v="TXN925622"/>
    <d v="2025-01-14T00:00:00"/>
    <d v="2025-01-15T00:00:00"/>
    <n v="14"/>
    <n v="1"/>
    <n v="2025"/>
    <x v="2"/>
    <x v="0"/>
  </r>
  <r>
    <s v="Little Bird Organics"/>
    <x v="0"/>
    <s v="Coffee"/>
    <s v="Little Bird Organics"/>
    <s v="Yes"/>
    <n v="10.5"/>
    <x v="0"/>
    <s v="REF25118"/>
    <d v="2025-01-14T00:00:00"/>
    <d v="2025-01-15T00:00:00"/>
    <n v="14"/>
    <n v="1"/>
    <n v="2025"/>
    <x v="2"/>
    <x v="0"/>
  </r>
  <r>
    <s v="Smith &amp; Caughey Beauty"/>
    <x v="8"/>
    <s v="Skincare"/>
    <s v="Smith Caughey Beauty"/>
    <s v="Yes"/>
    <n v="43"/>
    <x v="3"/>
    <s v="PURCHASE 2146"/>
    <d v="2025-01-15T00:00:00"/>
    <d v="2025-01-17T00:00:00"/>
    <n v="15"/>
    <n v="1"/>
    <n v="2025"/>
    <x v="2"/>
    <x v="2"/>
  </r>
  <r>
    <s v="Wilson Parking CBD"/>
    <x v="1"/>
    <s v="Public Transport"/>
    <s v="Wilson Parking CBD"/>
    <s v="No"/>
    <n v="19.989999999999998"/>
    <x v="2"/>
    <s v="PURCHASE 9977"/>
    <d v="2025-01-17T00:00:00"/>
    <d v="2025-01-19T00:00:00"/>
    <n v="17"/>
    <n v="1"/>
    <n v="2025"/>
    <x v="2"/>
    <x v="3"/>
  </r>
  <r>
    <s v="Timezone Sylvia Park"/>
    <x v="5"/>
    <m/>
    <s v="timezone sylvia pk akl"/>
    <m/>
    <n v="75"/>
    <x v="0"/>
    <s v="TXN943170"/>
    <d v="2025-01-18T00:00:00"/>
    <d v="2025-01-18T00:00:00"/>
    <n v="18"/>
    <n v="1"/>
    <n v="2025"/>
    <x v="2"/>
    <x v="1"/>
  </r>
  <r>
    <s v="iHealth Clinic NZ"/>
    <x v="3"/>
    <s v="Doctor"/>
    <s v="Ihealth Clinic Akl"/>
    <m/>
    <n v="206.99"/>
    <x v="4"/>
    <m/>
    <d v="2025-01-18T00:00:00"/>
    <d v="2025-01-20T00:00:00"/>
    <n v="18"/>
    <n v="1"/>
    <n v="2025"/>
    <x v="2"/>
    <x v="6"/>
  </r>
  <r>
    <s v="Ola Cabs NZ"/>
    <x v="1"/>
    <m/>
    <s v="OLA CABS NZ RIDE #8812"/>
    <m/>
    <n v="36"/>
    <x v="0"/>
    <m/>
    <d v="2025-01-19T00:00:00"/>
    <d v="2025-01-19T00:00:00"/>
    <n v="19"/>
    <n v="1"/>
    <n v="2025"/>
    <x v="2"/>
    <x v="3"/>
  </r>
  <r>
    <s v="Apple iTunes NZ"/>
    <x v="5"/>
    <s v="Gaming"/>
    <s v="Apple iTunes NZ"/>
    <s v="Yes"/>
    <n v="34"/>
    <x v="2"/>
    <s v="AUTH 691807"/>
    <d v="2025-01-20T00:00:00"/>
    <d v="2025-01-22T00:00:00"/>
    <n v="20"/>
    <n v="1"/>
    <n v="2025"/>
    <x v="2"/>
    <x v="0"/>
  </r>
  <r>
    <s v="Spark Arena Tickets"/>
    <x v="5"/>
    <s v="Streaming"/>
    <s v="SPARK ARENA AKL TICKETS"/>
    <s v="No"/>
    <n v="136.5"/>
    <x v="4"/>
    <m/>
    <d v="2025-01-21T00:00:00"/>
    <d v="2025-01-21T00:00:00"/>
    <n v="21"/>
    <n v="1"/>
    <n v="2025"/>
    <x v="2"/>
    <x v="4"/>
  </r>
  <r>
    <s v="Mojo Coffee Airport"/>
    <x v="0"/>
    <m/>
    <s v="MOJO COFFEE AKL AIRPORT"/>
    <s v="No"/>
    <n v="12.49"/>
    <x v="3"/>
    <s v="TXN735324"/>
    <d v="2025-01-22T00:00:00"/>
    <d v="2025-01-23T00:00:00"/>
    <n v="22"/>
    <n v="1"/>
    <n v="2025"/>
    <x v="2"/>
    <x v="5"/>
  </r>
  <r>
    <m/>
    <x v="0"/>
    <m/>
    <s v="Columbus Coffee Sylvia"/>
    <s v="No"/>
    <n v="14.49"/>
    <x v="3"/>
    <m/>
    <d v="2025-01-23T00:00:00"/>
    <d v="2025-01-23T00:00:00"/>
    <n v="23"/>
    <n v="1"/>
    <n v="2025"/>
    <x v="2"/>
    <x v="5"/>
  </r>
  <r>
    <s v="Flight Coffee"/>
    <x v="0"/>
    <s v="Brunch"/>
    <s v="Flight Coffee"/>
    <s v="No"/>
    <n v="14.95"/>
    <x v="4"/>
    <s v="TXN611233"/>
    <d v="2025-01-24T00:00:00"/>
    <d v="2025-01-24T00:00:00"/>
    <n v="24"/>
    <n v="1"/>
    <n v="2025"/>
    <x v="2"/>
    <x v="2"/>
  </r>
  <r>
    <s v="Auckland DHB"/>
    <x v="6"/>
    <s v="Insurance"/>
    <s v="Auckland Dhb Payment"/>
    <s v="No"/>
    <n v="145.25"/>
    <x v="4"/>
    <m/>
    <d v="2025-01-24T00:00:00"/>
    <d v="2025-01-26T00:00:00"/>
    <n v="24"/>
    <n v="1"/>
    <n v="2025"/>
    <x v="2"/>
    <x v="3"/>
  </r>
  <r>
    <m/>
    <x v="7"/>
    <s v="Online Course"/>
    <s v="aut university akl nz"/>
    <s v="Yes"/>
    <n v="315.5"/>
    <x v="3"/>
    <m/>
    <d v="2025-01-24T00:00:00"/>
    <d v="2025-01-25T00:00:00"/>
    <n v="24"/>
    <n v="1"/>
    <n v="2025"/>
    <x v="2"/>
    <x v="1"/>
  </r>
  <r>
    <s v="Ola Cabs NZ"/>
    <x v="1"/>
    <s v="Petrol"/>
    <s v="ola cabs nz ride #8812"/>
    <s v="No"/>
    <n v="46"/>
    <x v="2"/>
    <s v="AUTH 406327"/>
    <d v="2025-01-25T00:00:00"/>
    <d v="2025-01-26T00:00:00"/>
    <n v="25"/>
    <n v="1"/>
    <n v="2025"/>
    <x v="2"/>
    <x v="3"/>
  </r>
  <r>
    <m/>
    <x v="2"/>
    <s v="Online"/>
    <s v="Kmart Botany Auckland Nz"/>
    <s v="Yes"/>
    <n v="372"/>
    <x v="2"/>
    <s v="TXN950544"/>
    <d v="2025-01-26T00:00:00"/>
    <d v="2025-01-28T00:00:00"/>
    <n v="26"/>
    <n v="1"/>
    <n v="2025"/>
    <x v="2"/>
    <x v="4"/>
  </r>
  <r>
    <s v="Uber NZ"/>
    <x v="1"/>
    <s v="Petrol"/>
    <s v="Uber* Trip Nz 773-928-1049"/>
    <s v="No"/>
    <n v="89"/>
    <x v="1"/>
    <s v="AUTH 807160"/>
    <d v="2025-03-01T00:00:00"/>
    <d v="2025-03-01T00:00:00"/>
    <n v="1"/>
    <n v="3"/>
    <n v="2025"/>
    <x v="3"/>
    <x v="1"/>
  </r>
  <r>
    <s v="Depot Eatery"/>
    <x v="0"/>
    <m/>
    <s v="Depot Eatery"/>
    <s v="No"/>
    <n v="38.5"/>
    <x v="3"/>
    <m/>
    <d v="2025-03-02T00:00:00"/>
    <d v="2025-03-03T00:00:00"/>
    <n v="2"/>
    <n v="3"/>
    <n v="2025"/>
    <x v="3"/>
    <x v="6"/>
  </r>
  <r>
    <s v="Uber NZ"/>
    <x v="1"/>
    <s v="Taxi/Rideshare"/>
    <s v="Uber NZ"/>
    <s v="No"/>
    <n v="51.5"/>
    <x v="2"/>
    <m/>
    <d v="2025-03-02T00:00:00"/>
    <d v="2025-03-04T00:00:00"/>
    <n v="2"/>
    <n v="3"/>
    <n v="2025"/>
    <x v="3"/>
    <x v="4"/>
  </r>
  <r>
    <s v="Atomic Coffee Roasters"/>
    <x v="0"/>
    <m/>
    <s v="ATOMIC COFFEE ROASTERS NZ"/>
    <s v="No"/>
    <n v="16"/>
    <x v="4"/>
    <s v="REF83946"/>
    <d v="2025-03-04T00:00:00"/>
    <d v="2025-03-06T00:00:00"/>
    <n v="4"/>
    <n v="3"/>
    <n v="2025"/>
    <x v="3"/>
    <x v="5"/>
  </r>
  <r>
    <s v="Flight Coffee"/>
    <x v="0"/>
    <s v="Coffee"/>
    <s v="FLIGHT COFFEE AKL CBD"/>
    <s v="No"/>
    <n v="6"/>
    <x v="2"/>
    <s v="PURCHASE 1945"/>
    <d v="2025-03-04T00:00:00"/>
    <d v="2025-03-05T00:00:00"/>
    <n v="4"/>
    <n v="3"/>
    <n v="2025"/>
    <x v="3"/>
    <x v="0"/>
  </r>
  <r>
    <s v="Jucy Car Rental"/>
    <x v="1"/>
    <s v="Taxi/Rideshare"/>
    <s v="jucy rentals nz 0800"/>
    <s v="No"/>
    <n v="12"/>
    <x v="2"/>
    <s v="PURCHASE 3948"/>
    <d v="2025-03-05T00:00:00"/>
    <d v="2025-03-06T00:00:00"/>
    <n v="5"/>
    <n v="3"/>
    <n v="2025"/>
    <x v="3"/>
    <x v="5"/>
  </r>
  <r>
    <s v="Jetstar NZ"/>
    <x v="1"/>
    <s v="Accommodation"/>
    <s v="jetstar nz booking"/>
    <s v="No"/>
    <n v="815"/>
    <x v="0"/>
    <m/>
    <d v="2025-03-06T00:00:00"/>
    <d v="2025-03-08T00:00:00"/>
    <n v="6"/>
    <n v="3"/>
    <n v="2025"/>
    <x v="3"/>
    <x v="1"/>
  </r>
  <r>
    <m/>
    <x v="0"/>
    <s v="Fast Food"/>
    <s v="SALS PIZZA NZ 09-123456"/>
    <s v="Yes"/>
    <n v="27"/>
    <x v="0"/>
    <s v="TXN316092"/>
    <d v="2025-03-06T00:00:00"/>
    <d v="2025-03-06T00:00:00"/>
    <n v="6"/>
    <n v="3"/>
    <n v="2025"/>
    <x v="3"/>
    <x v="5"/>
  </r>
  <r>
    <s v="Jetstar NZ"/>
    <x v="1"/>
    <s v="Accommodation"/>
    <s v="JETSTAR NZ BOOKING"/>
    <s v="No"/>
    <n v="927"/>
    <x v="3"/>
    <m/>
    <d v="2025-03-07T00:00:00"/>
    <d v="2025-03-09T00:00:00"/>
    <n v="7"/>
    <n v="3"/>
    <n v="2025"/>
    <x v="3"/>
    <x v="3"/>
  </r>
  <r>
    <s v="Starbucks Queen St"/>
    <x v="0"/>
    <m/>
    <s v="Starbucks Queen St"/>
    <m/>
    <n v="14"/>
    <x v="0"/>
    <s v="REF55143"/>
    <d v="2025-03-09T00:00:00"/>
    <d v="2025-03-11T00:00:00"/>
    <n v="9"/>
    <n v="3"/>
    <n v="2025"/>
    <x v="3"/>
    <x v="4"/>
  </r>
  <r>
    <s v="Disney+ NZ"/>
    <x v="5"/>
    <s v="Gaming"/>
    <s v="DISNEY PLUS NZ MONTHLY"/>
    <s v="No"/>
    <n v="111"/>
    <x v="3"/>
    <s v="TXN449138"/>
    <d v="2025-03-10T00:00:00"/>
    <d v="2025-03-10T00:00:00"/>
    <n v="10"/>
    <n v="3"/>
    <n v="2025"/>
    <x v="3"/>
    <x v="6"/>
  </r>
  <r>
    <m/>
    <x v="7"/>
    <s v="University"/>
    <s v="Study Link NZ"/>
    <s v="No"/>
    <n v="502"/>
    <x v="0"/>
    <s v="PURCHASE 6530"/>
    <d v="2025-03-11T00:00:00"/>
    <d v="2025-03-11T00:00:00"/>
    <n v="11"/>
    <n v="3"/>
    <n v="2025"/>
    <x v="3"/>
    <x v="4"/>
  </r>
  <r>
    <s v="Intercity Coach"/>
    <x v="1"/>
    <m/>
    <s v="intercity nz ticket"/>
    <s v="No"/>
    <n v="1152"/>
    <x v="2"/>
    <s v="PURCHASE 3252"/>
    <d v="2025-03-13T00:00:00"/>
    <d v="2025-03-15T00:00:00"/>
    <n v="13"/>
    <n v="3"/>
    <n v="2025"/>
    <x v="3"/>
    <x v="1"/>
  </r>
  <r>
    <m/>
    <x v="0"/>
    <m/>
    <s v="Countdown Sylvia Pk Auckland"/>
    <s v="No"/>
    <n v="120"/>
    <x v="3"/>
    <s v="REF75826"/>
    <d v="2025-03-14T00:00:00"/>
    <d v="2025-03-16T00:00:00"/>
    <n v="14"/>
    <n v="3"/>
    <n v="2025"/>
    <x v="3"/>
    <x v="3"/>
  </r>
  <r>
    <s v="Depot Eatery"/>
    <x v="0"/>
    <m/>
    <s v="Depot Eatery"/>
    <s v="Yes"/>
    <n v="82.95"/>
    <x v="2"/>
    <s v="TXN321686"/>
    <d v="2025-03-15T00:00:00"/>
    <d v="2025-03-17T00:00:00"/>
    <n v="15"/>
    <n v="3"/>
    <n v="2025"/>
    <x v="3"/>
    <x v="6"/>
  </r>
  <r>
    <s v="AT HOP Top-up"/>
    <x v="1"/>
    <s v="Petrol"/>
    <s v="AT HOP TOPUP ONLINE NZ"/>
    <s v="No"/>
    <n v="115.99"/>
    <x v="3"/>
    <s v="AUTH 352153"/>
    <d v="2025-03-16T00:00:00"/>
    <d v="2025-03-16T00:00:00"/>
    <n v="16"/>
    <n v="3"/>
    <n v="2025"/>
    <x v="3"/>
    <x v="3"/>
  </r>
  <r>
    <s v="Snap Fitness Mt Eden"/>
    <x v="3"/>
    <s v="Pharmacy"/>
    <s v="SNAP FITNESS MT EDEN NZ"/>
    <s v="No"/>
    <n v="21"/>
    <x v="1"/>
    <s v="REF48253"/>
    <d v="2025-03-17T00:00:00"/>
    <d v="2025-03-19T00:00:00"/>
    <n v="17"/>
    <n v="3"/>
    <n v="2025"/>
    <x v="3"/>
    <x v="0"/>
  </r>
  <r>
    <s v="Flight Coffee"/>
    <x v="0"/>
    <s v="Snack"/>
    <s v="FLIGHT COFFEE AKL CBD"/>
    <s v="No"/>
    <n v="7.5"/>
    <x v="3"/>
    <m/>
    <d v="2025-03-18T00:00:00"/>
    <d v="2025-03-19T00:00:00"/>
    <n v="18"/>
    <n v="3"/>
    <n v="2025"/>
    <x v="3"/>
    <x v="0"/>
  </r>
  <r>
    <s v="Ticketmaster NZ"/>
    <x v="5"/>
    <s v="Events"/>
    <s v="ticketmaster nz online"/>
    <s v="Yes"/>
    <n v="152.94999999999999"/>
    <x v="1"/>
    <m/>
    <d v="2025-03-19T00:00:00"/>
    <d v="2025-03-20T00:00:00"/>
    <n v="19"/>
    <n v="3"/>
    <n v="2025"/>
    <x v="3"/>
    <x v="5"/>
  </r>
  <r>
    <s v="PB Tech AKL"/>
    <x v="2"/>
    <s v="Online"/>
    <s v="PB TECH AUCKLAND NZ"/>
    <s v="Yes"/>
    <n v="354.5"/>
    <x v="3"/>
    <m/>
    <d v="2025-03-20T00:00:00"/>
    <d v="2025-03-21T00:00:00"/>
    <n v="20"/>
    <n v="3"/>
    <n v="2025"/>
    <x v="3"/>
    <x v="2"/>
  </r>
  <r>
    <s v="Ola Cabs NZ"/>
    <x v="1"/>
    <m/>
    <s v="Ola Cabs NZ"/>
    <s v="Yes"/>
    <n v="34.99"/>
    <x v="2"/>
    <s v="AUTH 602514"/>
    <d v="2025-03-21T00:00:00"/>
    <d v="2025-03-22T00:00:00"/>
    <n v="21"/>
    <n v="3"/>
    <n v="2025"/>
    <x v="3"/>
    <x v="1"/>
  </r>
  <r>
    <s v="iD Climbing Auckland"/>
    <x v="5"/>
    <s v="Gaming"/>
    <s v="ID CLIMBING GYM AKL"/>
    <s v="Yes"/>
    <n v="86"/>
    <x v="2"/>
    <s v="REF48722"/>
    <d v="2025-03-26T00:00:00"/>
    <d v="2025-03-27T00:00:00"/>
    <n v="26"/>
    <n v="3"/>
    <n v="2025"/>
    <x v="3"/>
    <x v="5"/>
  </r>
  <r>
    <s v="Zara Queen St"/>
    <x v="2"/>
    <s v="Electronics"/>
    <s v="Zara Queen St Auckland"/>
    <s v="No"/>
    <n v="41"/>
    <x v="1"/>
    <m/>
    <d v="2025-03-26T00:00:00"/>
    <d v="2025-03-26T00:00:00"/>
    <n v="26"/>
    <n v="3"/>
    <n v="2025"/>
    <x v="3"/>
    <x v="0"/>
  </r>
  <r>
    <s v="Mojo Coffee Airport"/>
    <x v="0"/>
    <s v="Brunch"/>
    <s v="MOJO COFFEE AKL AIRPORT"/>
    <s v="No"/>
    <n v="15"/>
    <x v="3"/>
    <s v="AUTH 550418"/>
    <d v="2025-03-27T00:00:00"/>
    <d v="2025-03-29T00:00:00"/>
    <n v="27"/>
    <n v="3"/>
    <n v="2025"/>
    <x v="3"/>
    <x v="1"/>
  </r>
  <r>
    <s v="Flight Coffee"/>
    <x v="0"/>
    <s v="Coffee"/>
    <s v="Flight Coffee"/>
    <s v="No"/>
    <n v="6.67"/>
    <x v="1"/>
    <s v="AUTH 511612"/>
    <d v="2025-03-27T00:00:00"/>
    <d v="2025-03-29T00:00:00"/>
    <n v="27"/>
    <n v="3"/>
    <n v="2025"/>
    <x v="3"/>
    <x v="1"/>
  </r>
  <r>
    <s v="AT HOP Auto Top-up"/>
    <x v="1"/>
    <s v="Parking"/>
    <s v="AT HOP AUTO TOPUP 83992"/>
    <m/>
    <n v="32.950000000000003"/>
    <x v="2"/>
    <s v="PURCHASE 3258"/>
    <d v="2025-03-28T00:00:00"/>
    <d v="2025-03-30T00:00:00"/>
    <n v="28"/>
    <n v="3"/>
    <n v="2025"/>
    <x v="3"/>
    <x v="3"/>
  </r>
  <r>
    <s v="Kokako Cafe Grey Lynn"/>
    <x v="0"/>
    <s v="Brunch"/>
    <s v="KOKAKO CAFE GREY LYNN"/>
    <s v="Yes"/>
    <n v="5.5"/>
    <x v="4"/>
    <s v="AUTH 635618"/>
    <d v="2025-03-29T00:00:00"/>
    <d v="2025-03-29T00:00:00"/>
    <n v="29"/>
    <n v="3"/>
    <n v="2025"/>
    <x v="3"/>
    <x v="1"/>
  </r>
  <r>
    <m/>
    <x v="0"/>
    <s v="Takeaway"/>
    <s v="CIBO RESTAURANT PARNELL"/>
    <s v="No"/>
    <n v="23.49"/>
    <x v="1"/>
    <s v="AUTH 664939"/>
    <d v="2025-03-29T00:00:00"/>
    <d v="2025-03-29T00:00:00"/>
    <n v="29"/>
    <n v="3"/>
    <n v="2025"/>
    <x v="3"/>
    <x v="1"/>
  </r>
  <r>
    <s v="Timezone Sylvia Park"/>
    <x v="5"/>
    <s v="Events"/>
    <s v="TIMEZONE SYLVIA PK AKL"/>
    <s v="No"/>
    <n v="171"/>
    <x v="2"/>
    <m/>
    <d v="2025-03-30T00:00:00"/>
    <d v="2025-04-01T00:00:00"/>
    <n v="30"/>
    <n v="3"/>
    <n v="2025"/>
    <x v="3"/>
    <x v="4"/>
  </r>
  <r>
    <m/>
    <x v="8"/>
    <s v="Skincare"/>
    <s v="smith caughey beauty"/>
    <s v="Yes"/>
    <n v="75.95"/>
    <x v="2"/>
    <s v="REF92074"/>
    <d v="2025-03-30T00:00:00"/>
    <d v="2025-04-01T00:00:00"/>
    <n v="30"/>
    <n v="3"/>
    <n v="2025"/>
    <x v="3"/>
    <x v="4"/>
  </r>
  <r>
    <s v="Tower Insurance NZ"/>
    <x v="4"/>
    <m/>
    <s v="TOWER INSURANCE DD NZ"/>
    <s v="Yes"/>
    <n v="167.95"/>
    <x v="0"/>
    <s v="PURCHASE 2160"/>
    <d v="2025-03-30T00:00:00"/>
    <d v="2025-03-30T00:00:00"/>
    <n v="30"/>
    <n v="3"/>
    <n v="2025"/>
    <x v="3"/>
    <x v="3"/>
  </r>
  <r>
    <m/>
    <x v="0"/>
    <s v="Fine Dining"/>
    <s v="HELL PIZZA ONLINE NZ"/>
    <m/>
    <n v="56"/>
    <x v="1"/>
    <m/>
    <d v="2025-03-31T00:00:00"/>
    <d v="2025-04-01T00:00:00"/>
    <n v="31"/>
    <n v="3"/>
    <n v="2025"/>
    <x v="3"/>
    <x v="4"/>
  </r>
  <r>
    <m/>
    <x v="1"/>
    <m/>
    <s v="Gull Petrol Māngere"/>
    <s v="Yes"/>
    <n v="41.5"/>
    <x v="2"/>
    <s v="AUTH 730193"/>
    <d v="2025-03-31T00:00:00"/>
    <d v="2025-04-02T00:00:00"/>
    <n v="31"/>
    <n v="3"/>
    <n v="2025"/>
    <x v="3"/>
    <x v="0"/>
  </r>
  <r>
    <s v="Smith &amp; Caughey Beauty"/>
    <x v="8"/>
    <m/>
    <s v="Smith &amp; Caughey Beauty"/>
    <s v="No"/>
    <n v="75.95"/>
    <x v="2"/>
    <m/>
    <d v="2025-05-02T00:00:00"/>
    <d v="2025-05-03T00:00:00"/>
    <n v="2"/>
    <n v="5"/>
    <n v="2025"/>
    <x v="4"/>
    <x v="1"/>
  </r>
  <r>
    <s v="Mobil Greenlane"/>
    <x v="1"/>
    <s v="Public Transport"/>
    <s v="Mobil Greenlane Akl Nz"/>
    <s v="Yes"/>
    <n v="68"/>
    <x v="2"/>
    <m/>
    <d v="2025-05-03T00:00:00"/>
    <d v="2025-05-04T00:00:00"/>
    <n v="3"/>
    <n v="5"/>
    <n v="2025"/>
    <x v="4"/>
    <x v="3"/>
  </r>
  <r>
    <s v="AUT Library Fine"/>
    <x v="7"/>
    <s v="University"/>
    <s v="aut university akl nz"/>
    <s v="No"/>
    <n v="473.99"/>
    <x v="2"/>
    <s v="PURCHASE 4658"/>
    <d v="2025-05-03T00:00:00"/>
    <d v="2025-05-05T00:00:00"/>
    <n v="3"/>
    <n v="5"/>
    <n v="2025"/>
    <x v="4"/>
    <x v="6"/>
  </r>
  <r>
    <s v="DoorDash NZ"/>
    <x v="0"/>
    <s v="Delivery"/>
    <s v="DOORDASH*NZ AUCKLAND"/>
    <s v="No"/>
    <n v="54"/>
    <x v="2"/>
    <m/>
    <d v="2025-05-03T00:00:00"/>
    <d v="2025-05-05T00:00:00"/>
    <n v="3"/>
    <n v="5"/>
    <n v="2025"/>
    <x v="4"/>
    <x v="6"/>
  </r>
  <r>
    <s v="Mighty Ape NZ"/>
    <x v="2"/>
    <s v="Electronics"/>
    <s v="MIGHTY APE NZ ORDER"/>
    <m/>
    <n v="32.950000000000003"/>
    <x v="3"/>
    <s v="AUTH 670792"/>
    <d v="2025-05-04T00:00:00"/>
    <d v="2025-05-04T00:00:00"/>
    <n v="4"/>
    <n v="5"/>
    <n v="2025"/>
    <x v="4"/>
    <x v="3"/>
  </r>
  <r>
    <m/>
    <x v="1"/>
    <s v="Parking"/>
    <s v="Jucy Rentals Nz 0800"/>
    <s v="Yes"/>
    <n v="18.670000000000002"/>
    <x v="2"/>
    <s v="REF41938"/>
    <d v="2025-05-04T00:00:00"/>
    <d v="2025-05-04T00:00:00"/>
    <n v="4"/>
    <n v="5"/>
    <n v="2025"/>
    <x v="4"/>
    <x v="3"/>
  </r>
  <r>
    <s v="2degrees Mobile"/>
    <x v="4"/>
    <s v="Insurance"/>
    <s v="2Degrees Mobile Nz Dd"/>
    <s v="No"/>
    <n v="209"/>
    <x v="3"/>
    <s v="TXN571023"/>
    <d v="2025-05-05T00:00:00"/>
    <d v="2025-05-07T00:00:00"/>
    <n v="5"/>
    <n v="5"/>
    <n v="2025"/>
    <x v="4"/>
    <x v="0"/>
  </r>
  <r>
    <s v="Mojo Coffee Airport"/>
    <x v="0"/>
    <m/>
    <s v="MOJO COFFEE AKL AIRPORT"/>
    <s v="Yes"/>
    <n v="17.350000000000001"/>
    <x v="2"/>
    <s v="PURCHASE 7315"/>
    <d v="2025-05-06T00:00:00"/>
    <d v="2025-05-08T00:00:00"/>
    <n v="6"/>
    <n v="5"/>
    <n v="2025"/>
    <x v="4"/>
    <x v="5"/>
  </r>
  <r>
    <s v="Regis Hairdresser Newmkt"/>
    <x v="8"/>
    <m/>
    <s v="regis hair newmarket"/>
    <s v="No"/>
    <n v="61.49"/>
    <x v="3"/>
    <m/>
    <d v="2025-05-07T00:00:00"/>
    <d v="2025-05-07T00:00:00"/>
    <n v="7"/>
    <n v="5"/>
    <n v="2025"/>
    <x v="4"/>
    <x v="0"/>
  </r>
  <r>
    <s v="The Warehouse Cafe"/>
    <x v="0"/>
    <s v="Delivery"/>
    <s v="The Whse Cafe Queen St"/>
    <m/>
    <n v="66.989999999999995"/>
    <x v="1"/>
    <m/>
    <d v="2025-05-07T00:00:00"/>
    <d v="2025-05-09T00:00:00"/>
    <n v="7"/>
    <n v="5"/>
    <n v="2025"/>
    <x v="4"/>
    <x v="2"/>
  </r>
  <r>
    <m/>
    <x v="0"/>
    <s v="Fresh Produce"/>
    <s v="Harris Farm Mkt Auckland"/>
    <s v="Yes"/>
    <n v="35.99"/>
    <x v="2"/>
    <s v="TXN488848"/>
    <d v="2025-05-09T00:00:00"/>
    <d v="2025-05-09T00:00:00"/>
    <n v="9"/>
    <n v="5"/>
    <n v="2025"/>
    <x v="4"/>
    <x v="2"/>
  </r>
  <r>
    <s v="Kokako Cafe Grey Lynn"/>
    <x v="0"/>
    <s v="Coffee"/>
    <s v="kokako cafe grey lynn"/>
    <s v="Yes"/>
    <n v="7.49"/>
    <x v="2"/>
    <m/>
    <d v="2025-05-10T00:00:00"/>
    <d v="2025-05-12T00:00:00"/>
    <n v="10"/>
    <n v="5"/>
    <n v="2025"/>
    <x v="4"/>
    <x v="6"/>
  </r>
  <r>
    <m/>
    <x v="0"/>
    <s v="Bulk Buy"/>
    <s v="Countdown Sylvia Pk Auckland"/>
    <s v="Yes"/>
    <n v="123.95"/>
    <x v="3"/>
    <s v="AUTH 303974"/>
    <d v="2025-05-10T00:00:00"/>
    <d v="2025-05-11T00:00:00"/>
    <n v="10"/>
    <n v="5"/>
    <n v="2025"/>
    <x v="4"/>
    <x v="3"/>
  </r>
  <r>
    <m/>
    <x v="5"/>
    <s v="Gaming"/>
    <s v="Disney+ NZ"/>
    <s v="No"/>
    <n v="143.49"/>
    <x v="0"/>
    <s v="AUTH 661671"/>
    <d v="2025-05-11T00:00:00"/>
    <d v="2025-05-12T00:00:00"/>
    <n v="11"/>
    <n v="5"/>
    <n v="2025"/>
    <x v="4"/>
    <x v="6"/>
  </r>
  <r>
    <s v="Air NZ Booking"/>
    <x v="1"/>
    <s v="Flights"/>
    <s v="air nz * booking nz"/>
    <m/>
    <n v="1031.95"/>
    <x v="3"/>
    <s v="TXN901387"/>
    <d v="2025-05-11T00:00:00"/>
    <d v="2025-05-12T00:00:00"/>
    <n v="11"/>
    <n v="5"/>
    <n v="2025"/>
    <x v="4"/>
    <x v="6"/>
  </r>
  <r>
    <s v="Sky TV NZ"/>
    <x v="5"/>
    <m/>
    <s v="Sky Tv Nz Monthly Sub"/>
    <s v="No"/>
    <n v="125"/>
    <x v="4"/>
    <m/>
    <d v="2025-05-12T00:00:00"/>
    <d v="2025-05-14T00:00:00"/>
    <n v="12"/>
    <n v="5"/>
    <n v="2025"/>
    <x v="4"/>
    <x v="0"/>
  </r>
  <r>
    <s v="Flight Coffee"/>
    <x v="0"/>
    <s v="Brunch"/>
    <s v="FLIGHT COFFEE AKL CBD"/>
    <s v="No"/>
    <n v="21"/>
    <x v="0"/>
    <s v="PURCHASE 7099"/>
    <d v="2025-05-15T00:00:00"/>
    <d v="2025-05-16T00:00:00"/>
    <n v="15"/>
    <n v="5"/>
    <n v="2025"/>
    <x v="4"/>
    <x v="2"/>
  </r>
  <r>
    <m/>
    <x v="0"/>
    <m/>
    <s v="Burger Fuel Newmarket Nz"/>
    <s v="Yes"/>
    <n v="29"/>
    <x v="1"/>
    <m/>
    <d v="2025-05-16T00:00:00"/>
    <d v="2025-05-17T00:00:00"/>
    <n v="16"/>
    <n v="5"/>
    <n v="2025"/>
    <x v="4"/>
    <x v="1"/>
  </r>
  <r>
    <s v="Midnight Espresso"/>
    <x v="0"/>
    <s v="Coffee"/>
    <s v="MIDNIGHT ESPRESSO AKL"/>
    <s v="Yes"/>
    <n v="10.5"/>
    <x v="0"/>
    <s v="PURCHASE 6950"/>
    <d v="2025-05-18T00:00:00"/>
    <d v="2025-05-20T00:00:00"/>
    <n v="18"/>
    <n v="5"/>
    <n v="2025"/>
    <x v="4"/>
    <x v="4"/>
  </r>
  <r>
    <s v="Hoyts Botany"/>
    <x v="5"/>
    <s v="Events"/>
    <s v="hoyts botany auckland"/>
    <s v="No"/>
    <n v="22.93"/>
    <x v="2"/>
    <m/>
    <d v="2025-05-18T00:00:00"/>
    <d v="2025-05-20T00:00:00"/>
    <n v="18"/>
    <n v="5"/>
    <n v="2025"/>
    <x v="4"/>
    <x v="4"/>
  </r>
  <r>
    <m/>
    <x v="0"/>
    <s v="Fast Food"/>
    <s v="Mexicali Fresh Cbd Akl"/>
    <s v="No"/>
    <n v="55"/>
    <x v="1"/>
    <m/>
    <d v="2025-05-19T00:00:00"/>
    <d v="2025-05-21T00:00:00"/>
    <n v="19"/>
    <n v="5"/>
    <n v="2025"/>
    <x v="4"/>
    <x v="0"/>
  </r>
  <r>
    <s v="Barber Shop K Road"/>
    <x v="8"/>
    <s v="Skincare"/>
    <s v="THE BARBER K ROAD AKL"/>
    <s v="No"/>
    <n v="71.5"/>
    <x v="4"/>
    <m/>
    <d v="2025-05-19T00:00:00"/>
    <d v="2025-05-20T00:00:00"/>
    <n v="19"/>
    <n v="5"/>
    <n v="2025"/>
    <x v="4"/>
    <x v="4"/>
  </r>
  <r>
    <s v="Contact Energy"/>
    <x v="4"/>
    <s v="Water"/>
    <s v="Contact Energy Nz Dd"/>
    <s v="No"/>
    <n v="234.49"/>
    <x v="2"/>
    <m/>
    <d v="2025-05-20T00:00:00"/>
    <d v="2025-05-21T00:00:00"/>
    <n v="20"/>
    <n v="5"/>
    <n v="2025"/>
    <x v="4"/>
    <x v="0"/>
  </r>
  <r>
    <m/>
    <x v="5"/>
    <m/>
    <s v="Sky TV NZ"/>
    <s v="Yes"/>
    <n v="71.989999999999995"/>
    <x v="3"/>
    <m/>
    <d v="2025-05-20T00:00:00"/>
    <d v="2025-05-22T00:00:00"/>
    <n v="20"/>
    <n v="5"/>
    <n v="2025"/>
    <x v="4"/>
    <x v="5"/>
  </r>
  <r>
    <s v="H&amp;M Auckland CBD"/>
    <x v="2"/>
    <s v="Online"/>
    <s v="H&amp;M AUCKLAND CBD NZ"/>
    <m/>
    <n v="152"/>
    <x v="2"/>
    <m/>
    <d v="2025-05-21T00:00:00"/>
    <d v="2025-05-21T00:00:00"/>
    <n v="21"/>
    <n v="5"/>
    <n v="2025"/>
    <x v="4"/>
    <x v="0"/>
  </r>
  <r>
    <s v="JB Hi-Fi Sylvia Pk"/>
    <x v="2"/>
    <s v="Electronics"/>
    <s v="JB HIFI SYLVIA PK AKL"/>
    <s v="No"/>
    <n v="358"/>
    <x v="3"/>
    <s v="REF81197"/>
    <d v="2025-05-21T00:00:00"/>
    <d v="2025-05-21T00:00:00"/>
    <n v="21"/>
    <n v="5"/>
    <n v="2025"/>
    <x v="4"/>
    <x v="0"/>
  </r>
  <r>
    <s v="Pak'nSave Māngere"/>
    <x v="0"/>
    <s v="Bulk Buy"/>
    <s v="paknsave mangere akl nz"/>
    <s v="No"/>
    <n v="106.49"/>
    <x v="0"/>
    <m/>
    <d v="2025-05-22T00:00:00"/>
    <d v="2025-05-23T00:00:00"/>
    <n v="22"/>
    <n v="5"/>
    <n v="2025"/>
    <x v="4"/>
    <x v="2"/>
  </r>
  <r>
    <m/>
    <x v="0"/>
    <s v="Coffee"/>
    <s v="COLUMBUS COFFEE SYLVIA PK"/>
    <s v="Yes"/>
    <n v="8"/>
    <x v="3"/>
    <s v="PURCHASE 4982"/>
    <d v="2025-05-22T00:00:00"/>
    <d v="2025-05-22T00:00:00"/>
    <n v="22"/>
    <n v="5"/>
    <n v="2025"/>
    <x v="4"/>
    <x v="5"/>
  </r>
  <r>
    <s v="AA Membership"/>
    <x v="1"/>
    <s v="Public Transport"/>
    <s v="AA MEMBERSHIP ANNUAL NZ"/>
    <s v="No"/>
    <n v="11"/>
    <x v="2"/>
    <s v="PURCHASE 4812"/>
    <d v="2025-05-22T00:00:00"/>
    <d v="2025-05-24T00:00:00"/>
    <n v="22"/>
    <n v="5"/>
    <n v="2025"/>
    <x v="4"/>
    <x v="1"/>
  </r>
  <r>
    <m/>
    <x v="0"/>
    <m/>
    <s v="countdown mt eden akl nz"/>
    <s v="No"/>
    <n v="153.56"/>
    <x v="2"/>
    <m/>
    <d v="2025-05-22T00:00:00"/>
    <d v="2025-05-22T00:00:00"/>
    <n v="22"/>
    <n v="5"/>
    <n v="2025"/>
    <x v="4"/>
    <x v="5"/>
  </r>
  <r>
    <s v="Harris Farm Markets"/>
    <x v="0"/>
    <m/>
    <s v="harris farm mkt auckland"/>
    <s v="No"/>
    <n v="140"/>
    <x v="1"/>
    <m/>
    <d v="2025-05-23T00:00:00"/>
    <d v="2025-05-23T00:00:00"/>
    <n v="23"/>
    <n v="5"/>
    <n v="2025"/>
    <x v="4"/>
    <x v="2"/>
  </r>
  <r>
    <s v="Physio Works NZ"/>
    <x v="6"/>
    <s v="Insurance"/>
    <s v="physio works mt eden nz"/>
    <s v="Yes"/>
    <n v="40"/>
    <x v="2"/>
    <m/>
    <d v="2025-05-24T00:00:00"/>
    <d v="2025-05-24T00:00:00"/>
    <n v="24"/>
    <n v="5"/>
    <n v="2025"/>
    <x v="4"/>
    <x v="1"/>
  </r>
  <r>
    <s v="Harris Farm Markets"/>
    <x v="0"/>
    <s v="Bulk Buy"/>
    <s v="harris farm mkt auckland"/>
    <s v="No"/>
    <n v="76"/>
    <x v="3"/>
    <s v="TXN302500"/>
    <d v="2025-05-26T00:00:00"/>
    <d v="2025-05-26T00:00:00"/>
    <n v="26"/>
    <n v="5"/>
    <n v="2025"/>
    <x v="4"/>
    <x v="6"/>
  </r>
  <r>
    <s v="Snap Fitness Mt Eden"/>
    <x v="6"/>
    <s v="Insurance"/>
    <s v="snap fitness mt eden nz"/>
    <s v="No"/>
    <n v="54.99"/>
    <x v="1"/>
    <s v="AUTH 729057"/>
    <d v="2025-05-28T00:00:00"/>
    <d v="2025-05-30T00:00:00"/>
    <n v="28"/>
    <n v="5"/>
    <n v="2025"/>
    <x v="4"/>
    <x v="2"/>
  </r>
  <r>
    <s v="Jetstar NZ"/>
    <x v="1"/>
    <s v="Accommodation"/>
    <s v="JETSTAR NZ BOOKING"/>
    <s v="No"/>
    <n v="505.5"/>
    <x v="4"/>
    <s v="PURCHASE 1003"/>
    <d v="2025-05-28T00:00:00"/>
    <d v="2025-05-29T00:00:00"/>
    <n v="28"/>
    <n v="5"/>
    <n v="2025"/>
    <x v="4"/>
    <x v="5"/>
  </r>
  <r>
    <s v="Four Square Parnell"/>
    <x v="0"/>
    <s v="Fresh Produce"/>
    <s v="Four Square Parnell Akl"/>
    <s v="Yes"/>
    <n v="167.5"/>
    <x v="2"/>
    <s v="AUTH 831663"/>
    <d v="2025-05-31T00:00:00"/>
    <d v="2025-06-02T00:00:00"/>
    <n v="31"/>
    <n v="5"/>
    <n v="2025"/>
    <x v="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7C1AA-7F68-431F-B288-3C8CC2B5969C}" name="Tableau croisé dynamique11" cacheId="9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81:B89" firstHeaderRow="1" firstDataRow="1" firstDataCol="1"/>
  <pivotFields count="15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8">
        <item x="6"/>
        <item x="4"/>
        <item x="0"/>
        <item x="5"/>
        <item x="2"/>
        <item x="1"/>
        <item x="3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mount value" fld="5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DE705-68DC-48CE-AEF0-A0C7256B40E2}" name="Tableau croisé dynamique9" cacheId="98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>
  <location ref="A37:C43" firstHeaderRow="0" firstDataRow="1" firstDataCol="1"/>
  <pivotFields count="15"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4"/>
        <item x="0"/>
        <item x="3"/>
        <item x="1"/>
        <item x="2"/>
        <item m="1" x="5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5" subtotal="count" baseField="6" baseItem="0"/>
    <dataField name="Total Amount" fld="5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D1B94-6C6E-421C-8B46-92C532A6D2E8}" name="Tableau croisé dynamique6" cacheId="9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21:G32" firstHeaderRow="1" firstDataRow="2" firstDataCol="1"/>
  <pivotFields count="15">
    <pivotField showAll="0"/>
    <pivotField axis="axisRow" showAll="0">
      <items count="11">
        <item x="8"/>
        <item x="4"/>
        <item x="5"/>
        <item x="0"/>
        <item x="3"/>
        <item x="2"/>
        <item x="6"/>
        <item x="7"/>
        <item x="1"/>
        <item m="1"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1">
        <item m="1" x="7"/>
        <item m="1" x="6"/>
        <item m="1" x="8"/>
        <item m="1" x="5"/>
        <item m="1" x="9"/>
        <item x="0"/>
        <item x="1"/>
        <item x="2"/>
        <item x="3"/>
        <item x="4"/>
        <item t="default"/>
      </items>
    </pivotField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3"/>
  </colFields>
  <colItems count="6">
    <i>
      <x v="5"/>
    </i>
    <i>
      <x v="6"/>
    </i>
    <i>
      <x v="7"/>
    </i>
    <i>
      <x v="8"/>
    </i>
    <i>
      <x v="9"/>
    </i>
    <i t="grand">
      <x/>
    </i>
  </colItems>
  <dataFields count="1">
    <dataField name="Amount value" fld="5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C9BC1-C435-4B62-9845-76855B612E4B}" name="Tableau croisé dynamique2" cacheId="9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 rowHeaderCaption="Category">
  <location ref="A3:B13" firstHeaderRow="1" firstDataRow="1" firstDataCol="1"/>
  <pivotFields count="15">
    <pivotField showAll="0"/>
    <pivotField axis="axisRow" showAll="0">
      <items count="11">
        <item x="8"/>
        <item x="4"/>
        <item x="5"/>
        <item x="0"/>
        <item x="3"/>
        <item x="2"/>
        <item x="6"/>
        <item x="7"/>
        <item x="1"/>
        <item m="1"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mount valu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542A0-8887-4539-B19C-669C0758F8DD}" name="Tableau croisé dynamique8" cacheId="9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5"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11">
        <item m="1" x="7"/>
        <item m="1" x="6"/>
        <item m="1" x="8"/>
        <item m="1" x="5"/>
        <item m="1" x="9"/>
        <item x="2"/>
        <item x="1"/>
        <item x="3"/>
        <item x="0"/>
        <item x="4"/>
        <item t="default"/>
      </items>
    </pivotField>
    <pivotField showAll="0"/>
  </pivotFields>
  <rowFields count="1">
    <field x="13"/>
  </rowFields>
  <rowItems count="6"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mount value" fld="5" baseField="13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0BF1A9C-F322-4C67-85DF-7D57CCA14C3B}" autoFormatId="16" applyNumberFormats="0" applyBorderFormats="0" applyFontFormats="0" applyPatternFormats="0" applyAlignmentFormats="0" applyWidthHeightFormats="0">
  <queryTableRefresh nextId="18">
    <queryTableFields count="15">
      <queryTableField id="1" name="Merchant" tableColumnId="1"/>
      <queryTableField id="2" name="Category" tableColumnId="2"/>
      <queryTableField id="3" name="Subcategory" tableColumnId="3"/>
      <queryTableField id="4" name="Description" tableColumnId="4"/>
      <queryTableField id="5" name="Receipt" tableColumnId="5"/>
      <queryTableField id="6" name="Amount" tableColumnId="6"/>
      <queryTableField id="7" name="Payment Method" tableColumnId="7"/>
      <queryTableField id="8" name="Reference" tableColumnId="8"/>
      <queryTableField id="9" name="Payment Date" tableColumnId="9"/>
      <queryTableField id="10" name="Processed Date" tableColumnId="10"/>
      <queryTableField id="11" name="Day" tableColumnId="11"/>
      <queryTableField id="14" name="Month number" tableColumnId="14"/>
      <queryTableField id="13" name="Year" tableColumnId="13"/>
      <queryTableField id="12" name="Month" tableColumnId="12"/>
      <queryTableField id="17" name="Weekday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CCA6D5D3-7922-433B-B01D-211F68AE1D2A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Clean Catego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C6335-5656-4F59-B01E-D9A39B846974}" name="files" displayName="files" ref="A1:O200" tableType="queryTable" totalsRowShown="0">
  <autoFilter ref="A1:O200" xr:uid="{873C6335-5656-4F59-B01E-D9A39B846974}">
    <filterColumn colId="1">
      <customFilters>
        <customFilter operator="notEqual" val=" "/>
      </customFilters>
    </filterColumn>
  </autoFilter>
  <tableColumns count="15">
    <tableColumn id="1" xr3:uid="{8708BD72-80AD-47A5-B2DB-349D565A686B}" uniqueName="1" name="Merchant" queryTableFieldId="1"/>
    <tableColumn id="2" xr3:uid="{F1F4F949-69FE-4E88-9D59-61C430AD6B6C}" uniqueName="2" name="Category" queryTableFieldId="2"/>
    <tableColumn id="3" xr3:uid="{253710C9-70D0-4FDE-AF79-50061BA1A0EE}" uniqueName="3" name="Subcategory" queryTableFieldId="3"/>
    <tableColumn id="4" xr3:uid="{04159209-296E-4B72-81C5-5F6C2EEAE7DA}" uniqueName="4" name="Description" queryTableFieldId="4"/>
    <tableColumn id="5" xr3:uid="{CB0F8058-E0A4-48F6-8B9D-2C7B7C46C553}" uniqueName="5" name="Receipt" queryTableFieldId="5" dataDxfId="4"/>
    <tableColumn id="6" xr3:uid="{E02F29CC-1020-4AB7-A308-3B93B3680C13}" uniqueName="6" name="Amount" queryTableFieldId="6" dataDxfId="3"/>
    <tableColumn id="7" xr3:uid="{37B73B1E-688F-4842-B5CE-797106AEA17B}" uniqueName="7" name="Payment Method" queryTableFieldId="7"/>
    <tableColumn id="8" xr3:uid="{C521FC22-A55C-429F-86F4-46016198DCA9}" uniqueName="8" name="Reference" queryTableFieldId="8"/>
    <tableColumn id="9" xr3:uid="{D880B277-4F13-4EDA-AECC-BB2F5801356E}" uniqueName="9" name="Payment Date" queryTableFieldId="9" dataDxfId="2"/>
    <tableColumn id="10" xr3:uid="{5C9026FA-7A79-4540-9C61-B7FFEA02862B}" uniqueName="10" name="Processed Date" queryTableFieldId="10" dataDxfId="1"/>
    <tableColumn id="11" xr3:uid="{38E4B303-8034-4282-8716-8D536B368CE4}" uniqueName="11" name="Day" queryTableFieldId="11"/>
    <tableColumn id="14" xr3:uid="{8D324F19-6D44-49DC-B33E-A1B024872243}" uniqueName="14" name="Month number" queryTableFieldId="14"/>
    <tableColumn id="13" xr3:uid="{45FDC6F6-AE27-4B91-B147-D1A7A281B052}" uniqueName="13" name="Year" queryTableFieldId="13"/>
    <tableColumn id="12" xr3:uid="{E5566A2B-E1DA-49A3-AE8D-B49B8B0C5311}" uniqueName="12" name="Month" queryTableFieldId="12" dataDxfId="0"/>
    <tableColumn id="15" xr3:uid="{16F037AD-E9A0-4630-9E3D-57241E604B2C}" uniqueName="15" name="Weekday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3367B7-C2BF-47A6-9289-6B5E86245C32}" name="Tableau3_1" displayName="Tableau3_1" ref="A1:B41" tableType="queryTable" totalsRowShown="0">
  <autoFilter ref="A1:B41" xr:uid="{793367B7-C2BF-47A6-9289-6B5E86245C32}"/>
  <tableColumns count="2">
    <tableColumn id="1" xr3:uid="{0D19BFED-CC61-43BA-9602-E3CA29B64F31}" uniqueName="1" name="Category" queryTableFieldId="1"/>
    <tableColumn id="2" xr3:uid="{A9929134-F5DF-4BDA-B1BC-845DE2AF5DCC}" uniqueName="2" name="Clean Categor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586DD0-E375-45DB-953F-29975ADC624C}" name="Tableau3" displayName="Tableau3" ref="D1:E41" totalsRowShown="0">
  <autoFilter ref="D1:E41" xr:uid="{07586DD0-E375-45DB-953F-29975ADC624C}"/>
  <tableColumns count="2">
    <tableColumn id="1" xr3:uid="{41EEEDAD-BE63-43EA-BDFD-F60801045DCC}" name="Category"/>
    <tableColumn id="2" xr3:uid="{DCB5BABB-FD27-4530-ABA4-FE7849FEDECA}" name="Clean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944D-5F58-4E7C-A572-61B108FD2003}">
  <dimension ref="A1:O200"/>
  <sheetViews>
    <sheetView workbookViewId="0">
      <selection sqref="A1:O250"/>
    </sheetView>
  </sheetViews>
  <sheetFormatPr baseColWidth="10" defaultRowHeight="13.8"/>
  <cols>
    <col min="1" max="1" width="23.5" bestFit="1" customWidth="1"/>
    <col min="2" max="2" width="12" bestFit="1" customWidth="1"/>
    <col min="3" max="3" width="14.09765625" bestFit="1" customWidth="1"/>
    <col min="4" max="4" width="33" bestFit="1" customWidth="1"/>
    <col min="5" max="5" width="9.59765625" bestFit="1" customWidth="1"/>
    <col min="6" max="6" width="9.796875" bestFit="1" customWidth="1"/>
    <col min="7" max="7" width="17.69921875" bestFit="1" customWidth="1"/>
    <col min="8" max="8" width="15.296875" bestFit="1" customWidth="1"/>
    <col min="9" max="9" width="15.19921875" bestFit="1" customWidth="1"/>
    <col min="10" max="10" width="16.69921875" bestFit="1" customWidth="1"/>
    <col min="11" max="11" width="6.296875" bestFit="1" customWidth="1"/>
    <col min="12" max="12" width="15.59765625" bestFit="1" customWidth="1"/>
    <col min="13" max="13" width="7" bestFit="1" customWidth="1"/>
    <col min="14" max="14" width="8.296875" bestFit="1" customWidth="1"/>
    <col min="15" max="15" width="1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419</v>
      </c>
      <c r="L1" t="s">
        <v>431</v>
      </c>
      <c r="M1" t="s">
        <v>421</v>
      </c>
      <c r="N1" t="s">
        <v>420</v>
      </c>
      <c r="O1" t="s">
        <v>436</v>
      </c>
    </row>
    <row r="2" spans="1:15">
      <c r="B2" t="s">
        <v>413</v>
      </c>
      <c r="C2" t="s">
        <v>10</v>
      </c>
      <c r="D2" t="s">
        <v>11</v>
      </c>
      <c r="E2" s="1" t="s">
        <v>422</v>
      </c>
      <c r="F2" s="1">
        <v>13</v>
      </c>
      <c r="G2" t="s">
        <v>12</v>
      </c>
      <c r="H2" t="s">
        <v>13</v>
      </c>
      <c r="I2" s="2">
        <v>45748</v>
      </c>
      <c r="J2" s="2">
        <v>45749</v>
      </c>
      <c r="K2">
        <v>1</v>
      </c>
      <c r="L2">
        <v>4</v>
      </c>
      <c r="M2">
        <v>2025</v>
      </c>
      <c r="N2" s="1" t="s">
        <v>426</v>
      </c>
      <c r="O2">
        <v>2</v>
      </c>
    </row>
    <row r="3" spans="1:15">
      <c r="A3" t="s">
        <v>29</v>
      </c>
      <c r="B3" t="s">
        <v>413</v>
      </c>
      <c r="C3" t="s">
        <v>30</v>
      </c>
      <c r="D3" t="s">
        <v>31</v>
      </c>
      <c r="E3" s="1"/>
      <c r="F3" s="1">
        <v>4.49</v>
      </c>
      <c r="G3" t="s">
        <v>16</v>
      </c>
      <c r="I3" s="2">
        <v>45750</v>
      </c>
      <c r="J3" s="2">
        <v>45752</v>
      </c>
      <c r="K3">
        <v>3</v>
      </c>
      <c r="L3">
        <v>4</v>
      </c>
      <c r="M3">
        <v>2025</v>
      </c>
      <c r="N3" s="1" t="s">
        <v>426</v>
      </c>
      <c r="O3">
        <v>5</v>
      </c>
    </row>
    <row r="4" spans="1:15">
      <c r="A4" t="s">
        <v>117</v>
      </c>
      <c r="B4" t="s">
        <v>413</v>
      </c>
      <c r="C4" t="s">
        <v>30</v>
      </c>
      <c r="D4" t="s">
        <v>118</v>
      </c>
      <c r="E4" s="1" t="s">
        <v>422</v>
      </c>
      <c r="F4" s="1">
        <v>19.5</v>
      </c>
      <c r="G4" t="s">
        <v>20</v>
      </c>
      <c r="H4" t="s">
        <v>119</v>
      </c>
      <c r="I4" s="2">
        <v>45764</v>
      </c>
      <c r="J4" s="2">
        <v>45765</v>
      </c>
      <c r="K4">
        <v>17</v>
      </c>
      <c r="L4">
        <v>4</v>
      </c>
      <c r="M4">
        <v>2025</v>
      </c>
      <c r="N4" s="1" t="s">
        <v>426</v>
      </c>
      <c r="O4">
        <v>4</v>
      </c>
    </row>
    <row r="5" spans="1:15">
      <c r="B5" t="s">
        <v>413</v>
      </c>
      <c r="C5" t="s">
        <v>30</v>
      </c>
      <c r="D5" t="s">
        <v>128</v>
      </c>
      <c r="E5" s="1" t="s">
        <v>423</v>
      </c>
      <c r="F5" s="1">
        <v>9.5</v>
      </c>
      <c r="G5" t="s">
        <v>20</v>
      </c>
      <c r="I5" s="2">
        <v>45765</v>
      </c>
      <c r="J5" s="2">
        <v>45767</v>
      </c>
      <c r="K5">
        <v>18</v>
      </c>
      <c r="L5">
        <v>4</v>
      </c>
      <c r="M5">
        <v>2025</v>
      </c>
      <c r="N5" s="1" t="s">
        <v>426</v>
      </c>
      <c r="O5">
        <v>6</v>
      </c>
    </row>
    <row r="6" spans="1:15">
      <c r="A6" t="s">
        <v>14</v>
      </c>
      <c r="B6" t="s">
        <v>218</v>
      </c>
      <c r="D6" t="s">
        <v>14</v>
      </c>
      <c r="E6" s="1" t="s">
        <v>423</v>
      </c>
      <c r="F6" s="1">
        <v>64.5</v>
      </c>
      <c r="G6" t="s">
        <v>16</v>
      </c>
      <c r="I6" s="2">
        <v>45748</v>
      </c>
      <c r="J6" s="2">
        <v>45748</v>
      </c>
      <c r="K6">
        <v>1</v>
      </c>
      <c r="L6">
        <v>4</v>
      </c>
      <c r="M6">
        <v>2025</v>
      </c>
      <c r="N6" s="1" t="s">
        <v>426</v>
      </c>
      <c r="O6">
        <v>1</v>
      </c>
    </row>
    <row r="7" spans="1:15">
      <c r="A7" t="s">
        <v>34</v>
      </c>
      <c r="B7" t="s">
        <v>218</v>
      </c>
      <c r="C7" t="s">
        <v>35</v>
      </c>
      <c r="D7" t="s">
        <v>36</v>
      </c>
      <c r="E7" s="1" t="s">
        <v>423</v>
      </c>
      <c r="F7" s="1">
        <v>57.49</v>
      </c>
      <c r="G7" t="s">
        <v>20</v>
      </c>
      <c r="H7" t="s">
        <v>37</v>
      </c>
      <c r="I7" s="2">
        <v>45750</v>
      </c>
      <c r="J7" s="2">
        <v>45750</v>
      </c>
      <c r="K7">
        <v>3</v>
      </c>
      <c r="L7">
        <v>4</v>
      </c>
      <c r="M7">
        <v>2025</v>
      </c>
      <c r="N7" s="1" t="s">
        <v>426</v>
      </c>
      <c r="O7">
        <v>3</v>
      </c>
    </row>
    <row r="8" spans="1:15">
      <c r="B8" t="s">
        <v>414</v>
      </c>
      <c r="C8" t="s">
        <v>18</v>
      </c>
      <c r="D8" t="s">
        <v>19</v>
      </c>
      <c r="E8" s="1" t="s">
        <v>423</v>
      </c>
      <c r="F8" s="1">
        <v>235</v>
      </c>
      <c r="G8" t="s">
        <v>20</v>
      </c>
      <c r="I8" s="2">
        <v>45748</v>
      </c>
      <c r="J8" s="2">
        <v>45749</v>
      </c>
      <c r="K8">
        <v>1</v>
      </c>
      <c r="L8">
        <v>4</v>
      </c>
      <c r="M8">
        <v>2025</v>
      </c>
      <c r="N8" s="1" t="s">
        <v>426</v>
      </c>
      <c r="O8">
        <v>2</v>
      </c>
    </row>
    <row r="9" spans="1:15">
      <c r="B9" t="s">
        <v>413</v>
      </c>
      <c r="C9" t="s">
        <v>22</v>
      </c>
      <c r="D9" t="s">
        <v>23</v>
      </c>
      <c r="E9" s="1" t="s">
        <v>422</v>
      </c>
      <c r="F9" s="1">
        <v>89.99</v>
      </c>
      <c r="G9" t="s">
        <v>16</v>
      </c>
      <c r="H9" t="s">
        <v>24</v>
      </c>
      <c r="I9" s="2">
        <v>45749</v>
      </c>
      <c r="J9" s="2">
        <v>45749</v>
      </c>
      <c r="K9">
        <v>2</v>
      </c>
      <c r="L9">
        <v>4</v>
      </c>
      <c r="M9">
        <v>2025</v>
      </c>
      <c r="N9" s="1" t="s">
        <v>426</v>
      </c>
      <c r="O9">
        <v>2</v>
      </c>
    </row>
    <row r="10" spans="1:15">
      <c r="A10" t="s">
        <v>25</v>
      </c>
      <c r="B10" t="s">
        <v>413</v>
      </c>
      <c r="D10" t="s">
        <v>27</v>
      </c>
      <c r="E10" s="1" t="s">
        <v>422</v>
      </c>
      <c r="F10" s="1">
        <v>184.5</v>
      </c>
      <c r="G10" t="s">
        <v>20</v>
      </c>
      <c r="H10" t="s">
        <v>28</v>
      </c>
      <c r="I10" s="2">
        <v>45749</v>
      </c>
      <c r="J10" s="2">
        <v>45750</v>
      </c>
      <c r="K10">
        <v>2</v>
      </c>
      <c r="L10">
        <v>4</v>
      </c>
      <c r="M10">
        <v>2025</v>
      </c>
      <c r="N10" s="1" t="s">
        <v>426</v>
      </c>
      <c r="O10">
        <v>3</v>
      </c>
    </row>
    <row r="11" spans="1:15">
      <c r="B11" t="s">
        <v>413</v>
      </c>
      <c r="D11" t="s">
        <v>33</v>
      </c>
      <c r="E11" s="1" t="s">
        <v>422</v>
      </c>
      <c r="F11" s="1">
        <v>16</v>
      </c>
      <c r="G11" t="s">
        <v>20</v>
      </c>
      <c r="I11" s="2">
        <v>45750</v>
      </c>
      <c r="J11" s="2">
        <v>45752</v>
      </c>
      <c r="K11">
        <v>3</v>
      </c>
      <c r="L11">
        <v>4</v>
      </c>
      <c r="M11">
        <v>2025</v>
      </c>
      <c r="N11" s="1" t="s">
        <v>426</v>
      </c>
      <c r="O11">
        <v>5</v>
      </c>
    </row>
    <row r="12" spans="1:15">
      <c r="B12" t="s">
        <v>413</v>
      </c>
      <c r="C12" t="s">
        <v>60</v>
      </c>
      <c r="D12" t="s">
        <v>61</v>
      </c>
      <c r="E12" s="1" t="s">
        <v>423</v>
      </c>
      <c r="F12" s="1">
        <v>13</v>
      </c>
      <c r="G12" t="s">
        <v>12</v>
      </c>
      <c r="I12" s="2">
        <v>45752</v>
      </c>
      <c r="J12" s="2">
        <v>45752</v>
      </c>
      <c r="K12">
        <v>5</v>
      </c>
      <c r="L12">
        <v>4</v>
      </c>
      <c r="M12">
        <v>2025</v>
      </c>
      <c r="N12" s="1" t="s">
        <v>426</v>
      </c>
      <c r="O12">
        <v>5</v>
      </c>
    </row>
    <row r="13" spans="1:15">
      <c r="A13" t="s">
        <v>62</v>
      </c>
      <c r="B13" t="s">
        <v>413</v>
      </c>
      <c r="C13" t="s">
        <v>10</v>
      </c>
      <c r="D13" t="s">
        <v>62</v>
      </c>
      <c r="E13" s="1"/>
      <c r="F13" s="1">
        <v>13</v>
      </c>
      <c r="G13" t="s">
        <v>20</v>
      </c>
      <c r="H13" t="s">
        <v>63</v>
      </c>
      <c r="I13" s="2">
        <v>45753</v>
      </c>
      <c r="J13" s="2">
        <v>45753</v>
      </c>
      <c r="K13">
        <v>6</v>
      </c>
      <c r="L13">
        <v>4</v>
      </c>
      <c r="M13">
        <v>2025</v>
      </c>
      <c r="N13" s="1" t="s">
        <v>426</v>
      </c>
      <c r="O13">
        <v>6</v>
      </c>
    </row>
    <row r="14" spans="1:15">
      <c r="A14" t="s">
        <v>78</v>
      </c>
      <c r="B14" t="s">
        <v>413</v>
      </c>
      <c r="D14" t="s">
        <v>79</v>
      </c>
      <c r="E14" s="1" t="s">
        <v>422</v>
      </c>
      <c r="F14" s="1">
        <v>11.5</v>
      </c>
      <c r="G14" t="s">
        <v>58</v>
      </c>
      <c r="H14" t="s">
        <v>80</v>
      </c>
      <c r="I14" s="2">
        <v>45757</v>
      </c>
      <c r="J14" s="2">
        <v>45759</v>
      </c>
      <c r="K14">
        <v>10</v>
      </c>
      <c r="L14">
        <v>4</v>
      </c>
      <c r="M14">
        <v>2025</v>
      </c>
      <c r="N14" s="1" t="s">
        <v>426</v>
      </c>
      <c r="O14">
        <v>5</v>
      </c>
    </row>
    <row r="15" spans="1:15">
      <c r="A15" t="s">
        <v>62</v>
      </c>
      <c r="B15" t="s">
        <v>413</v>
      </c>
      <c r="C15" t="s">
        <v>30</v>
      </c>
      <c r="D15" t="s">
        <v>108</v>
      </c>
      <c r="E15" s="1" t="s">
        <v>422</v>
      </c>
      <c r="F15" s="1">
        <v>9.99</v>
      </c>
      <c r="G15" t="s">
        <v>20</v>
      </c>
      <c r="H15" t="s">
        <v>109</v>
      </c>
      <c r="I15" s="2">
        <v>45761</v>
      </c>
      <c r="J15" s="2">
        <v>45763</v>
      </c>
      <c r="K15">
        <v>14</v>
      </c>
      <c r="L15">
        <v>4</v>
      </c>
      <c r="M15">
        <v>2025</v>
      </c>
      <c r="N15" s="1" t="s">
        <v>426</v>
      </c>
      <c r="O15">
        <v>2</v>
      </c>
    </row>
    <row r="16" spans="1:15">
      <c r="A16" t="s">
        <v>38</v>
      </c>
      <c r="B16" t="s">
        <v>218</v>
      </c>
      <c r="C16" t="s">
        <v>40</v>
      </c>
      <c r="D16" t="s">
        <v>41</v>
      </c>
      <c r="E16" s="1" t="s">
        <v>422</v>
      </c>
      <c r="F16" s="1">
        <v>85.95</v>
      </c>
      <c r="G16" t="s">
        <v>20</v>
      </c>
      <c r="I16" s="2">
        <v>45750</v>
      </c>
      <c r="J16" s="2">
        <v>45750</v>
      </c>
      <c r="K16">
        <v>3</v>
      </c>
      <c r="L16">
        <v>4</v>
      </c>
      <c r="M16">
        <v>2025</v>
      </c>
      <c r="N16" s="1" t="s">
        <v>426</v>
      </c>
      <c r="O16">
        <v>3</v>
      </c>
    </row>
    <row r="17" spans="1:15">
      <c r="A17" t="s">
        <v>68</v>
      </c>
      <c r="B17" t="s">
        <v>218</v>
      </c>
      <c r="C17" t="s">
        <v>40</v>
      </c>
      <c r="D17" t="s">
        <v>68</v>
      </c>
      <c r="E17" s="1" t="s">
        <v>422</v>
      </c>
      <c r="F17" s="1">
        <v>81.99</v>
      </c>
      <c r="G17" t="s">
        <v>58</v>
      </c>
      <c r="H17" t="s">
        <v>69</v>
      </c>
      <c r="I17" s="2">
        <v>45755</v>
      </c>
      <c r="J17" s="2">
        <v>45756</v>
      </c>
      <c r="K17">
        <v>8</v>
      </c>
      <c r="L17">
        <v>4</v>
      </c>
      <c r="M17">
        <v>2025</v>
      </c>
      <c r="N17" s="1" t="s">
        <v>426</v>
      </c>
      <c r="O17">
        <v>2</v>
      </c>
    </row>
    <row r="18" spans="1:15">
      <c r="B18" t="s">
        <v>413</v>
      </c>
      <c r="C18" t="s">
        <v>43</v>
      </c>
      <c r="D18" t="s">
        <v>44</v>
      </c>
      <c r="E18" s="1" t="s">
        <v>423</v>
      </c>
      <c r="F18" s="1">
        <v>77</v>
      </c>
      <c r="G18" t="s">
        <v>20</v>
      </c>
      <c r="I18" s="2">
        <v>45750</v>
      </c>
      <c r="J18" s="2">
        <v>45750</v>
      </c>
      <c r="K18">
        <v>3</v>
      </c>
      <c r="L18">
        <v>4</v>
      </c>
      <c r="M18">
        <v>2025</v>
      </c>
      <c r="N18" s="1" t="s">
        <v>426</v>
      </c>
      <c r="O18">
        <v>3</v>
      </c>
    </row>
    <row r="19" spans="1:15">
      <c r="B19" t="s">
        <v>413</v>
      </c>
      <c r="C19" t="s">
        <v>70</v>
      </c>
      <c r="D19" t="s">
        <v>71</v>
      </c>
      <c r="E19" s="1" t="s">
        <v>423</v>
      </c>
      <c r="F19" s="1">
        <v>23.49</v>
      </c>
      <c r="G19" t="s">
        <v>16</v>
      </c>
      <c r="I19" s="2">
        <v>45755</v>
      </c>
      <c r="J19" s="2">
        <v>45756</v>
      </c>
      <c r="K19">
        <v>8</v>
      </c>
      <c r="L19">
        <v>4</v>
      </c>
      <c r="M19">
        <v>2025</v>
      </c>
      <c r="N19" s="1" t="s">
        <v>426</v>
      </c>
      <c r="O19">
        <v>2</v>
      </c>
    </row>
    <row r="20" spans="1:15">
      <c r="B20" t="s">
        <v>413</v>
      </c>
      <c r="C20" t="s">
        <v>22</v>
      </c>
      <c r="D20" t="s">
        <v>72</v>
      </c>
      <c r="E20" s="1" t="s">
        <v>422</v>
      </c>
      <c r="F20" s="1">
        <v>12.99</v>
      </c>
      <c r="G20" t="s">
        <v>12</v>
      </c>
      <c r="H20" t="s">
        <v>73</v>
      </c>
      <c r="I20" s="2">
        <v>45756</v>
      </c>
      <c r="J20" s="2">
        <v>45756</v>
      </c>
      <c r="K20">
        <v>9</v>
      </c>
      <c r="L20">
        <v>4</v>
      </c>
      <c r="M20">
        <v>2025</v>
      </c>
      <c r="N20" s="1" t="s">
        <v>426</v>
      </c>
      <c r="O20">
        <v>2</v>
      </c>
    </row>
    <row r="21" spans="1:15">
      <c r="A21" t="s">
        <v>50</v>
      </c>
      <c r="B21" t="s">
        <v>413</v>
      </c>
      <c r="D21" t="s">
        <v>50</v>
      </c>
      <c r="E21" s="1" t="s">
        <v>422</v>
      </c>
      <c r="F21" s="1">
        <v>47.99</v>
      </c>
      <c r="G21" t="s">
        <v>20</v>
      </c>
      <c r="I21" s="2">
        <v>45759</v>
      </c>
      <c r="J21" s="2">
        <v>45759</v>
      </c>
      <c r="K21">
        <v>12</v>
      </c>
      <c r="L21">
        <v>4</v>
      </c>
      <c r="M21">
        <v>2025</v>
      </c>
      <c r="N21" s="1" t="s">
        <v>426</v>
      </c>
      <c r="O21">
        <v>5</v>
      </c>
    </row>
    <row r="22" spans="1:15">
      <c r="A22" t="s">
        <v>45</v>
      </c>
      <c r="B22" t="s">
        <v>46</v>
      </c>
      <c r="C22" t="s">
        <v>47</v>
      </c>
      <c r="D22" t="s">
        <v>48</v>
      </c>
      <c r="E22" s="1" t="s">
        <v>423</v>
      </c>
      <c r="F22" s="1">
        <v>36.950000000000003</v>
      </c>
      <c r="G22" t="s">
        <v>20</v>
      </c>
      <c r="H22" t="s">
        <v>49</v>
      </c>
      <c r="I22" s="2">
        <v>45750</v>
      </c>
      <c r="J22" s="2">
        <v>45750</v>
      </c>
      <c r="K22">
        <v>3</v>
      </c>
      <c r="L22">
        <v>4</v>
      </c>
      <c r="M22">
        <v>2025</v>
      </c>
      <c r="N22" s="1" t="s">
        <v>426</v>
      </c>
      <c r="O22">
        <v>3</v>
      </c>
    </row>
    <row r="23" spans="1:15">
      <c r="B23" t="s">
        <v>46</v>
      </c>
      <c r="C23" t="s">
        <v>85</v>
      </c>
      <c r="D23" t="s">
        <v>86</v>
      </c>
      <c r="E23" s="1" t="s">
        <v>422</v>
      </c>
      <c r="F23" s="1">
        <v>176.49</v>
      </c>
      <c r="G23" t="s">
        <v>58</v>
      </c>
      <c r="H23" t="s">
        <v>87</v>
      </c>
      <c r="I23" s="2">
        <v>45759</v>
      </c>
      <c r="J23" s="2">
        <v>45760</v>
      </c>
      <c r="K23">
        <v>12</v>
      </c>
      <c r="L23">
        <v>4</v>
      </c>
      <c r="M23">
        <v>2025</v>
      </c>
      <c r="N23" s="1" t="s">
        <v>426</v>
      </c>
      <c r="O23">
        <v>6</v>
      </c>
    </row>
    <row r="24" spans="1:15">
      <c r="A24" t="s">
        <v>50</v>
      </c>
      <c r="B24" t="s">
        <v>413</v>
      </c>
      <c r="D24" t="s">
        <v>52</v>
      </c>
      <c r="E24" s="1" t="s">
        <v>423</v>
      </c>
      <c r="F24" s="1">
        <v>62.5</v>
      </c>
      <c r="G24" t="s">
        <v>12</v>
      </c>
      <c r="H24" t="s">
        <v>53</v>
      </c>
      <c r="I24" s="2">
        <v>45751</v>
      </c>
      <c r="J24" s="2">
        <v>45752</v>
      </c>
      <c r="K24">
        <v>4</v>
      </c>
      <c r="L24">
        <v>4</v>
      </c>
      <c r="M24">
        <v>2025</v>
      </c>
      <c r="N24" s="1" t="s">
        <v>426</v>
      </c>
      <c r="O24">
        <v>5</v>
      </c>
    </row>
    <row r="25" spans="1:15">
      <c r="A25" t="s">
        <v>54</v>
      </c>
      <c r="B25" t="s">
        <v>218</v>
      </c>
      <c r="C25" t="s">
        <v>56</v>
      </c>
      <c r="D25" t="s">
        <v>57</v>
      </c>
      <c r="E25" s="1" t="s">
        <v>422</v>
      </c>
      <c r="F25" s="1">
        <v>471.95</v>
      </c>
      <c r="G25" t="s">
        <v>58</v>
      </c>
      <c r="H25" t="s">
        <v>59</v>
      </c>
      <c r="I25" s="2">
        <v>45752</v>
      </c>
      <c r="J25" s="2">
        <v>45753</v>
      </c>
      <c r="K25">
        <v>5</v>
      </c>
      <c r="L25">
        <v>4</v>
      </c>
      <c r="M25">
        <v>2025</v>
      </c>
      <c r="N25" s="1" t="s">
        <v>426</v>
      </c>
      <c r="O25">
        <v>6</v>
      </c>
    </row>
    <row r="26" spans="1:15">
      <c r="A26" t="s">
        <v>64</v>
      </c>
      <c r="B26" t="s">
        <v>413</v>
      </c>
      <c r="D26" t="s">
        <v>66</v>
      </c>
      <c r="E26" s="1" t="s">
        <v>423</v>
      </c>
      <c r="F26" s="1">
        <v>21.95</v>
      </c>
      <c r="G26" t="s">
        <v>16</v>
      </c>
      <c r="H26" t="s">
        <v>67</v>
      </c>
      <c r="I26" s="2">
        <v>45754</v>
      </c>
      <c r="J26" s="2">
        <v>45754</v>
      </c>
      <c r="K26">
        <v>7</v>
      </c>
      <c r="L26">
        <v>4</v>
      </c>
      <c r="M26">
        <v>2025</v>
      </c>
      <c r="N26" s="1" t="s">
        <v>426</v>
      </c>
      <c r="O26">
        <v>0</v>
      </c>
    </row>
    <row r="27" spans="1:15">
      <c r="A27" t="s">
        <v>74</v>
      </c>
      <c r="B27" t="s">
        <v>218</v>
      </c>
      <c r="C27" t="s">
        <v>35</v>
      </c>
      <c r="D27" t="s">
        <v>76</v>
      </c>
      <c r="E27" s="1" t="s">
        <v>422</v>
      </c>
      <c r="F27" s="1">
        <v>114</v>
      </c>
      <c r="G27" t="s">
        <v>20</v>
      </c>
      <c r="H27" t="s">
        <v>77</v>
      </c>
      <c r="I27" s="2">
        <v>45756</v>
      </c>
      <c r="J27" s="2">
        <v>45757</v>
      </c>
      <c r="K27">
        <v>9</v>
      </c>
      <c r="L27">
        <v>4</v>
      </c>
      <c r="M27">
        <v>2025</v>
      </c>
      <c r="N27" s="1" t="s">
        <v>426</v>
      </c>
      <c r="O27">
        <v>3</v>
      </c>
    </row>
    <row r="28" spans="1:15">
      <c r="B28" t="s">
        <v>415</v>
      </c>
      <c r="C28" t="s">
        <v>89</v>
      </c>
      <c r="D28" t="s">
        <v>90</v>
      </c>
      <c r="E28" s="1"/>
      <c r="F28" s="1">
        <v>75</v>
      </c>
      <c r="G28" t="s">
        <v>20</v>
      </c>
      <c r="I28" s="2">
        <v>45760</v>
      </c>
      <c r="J28" s="2">
        <v>45760</v>
      </c>
      <c r="K28">
        <v>13</v>
      </c>
      <c r="L28">
        <v>4</v>
      </c>
      <c r="M28">
        <v>2025</v>
      </c>
      <c r="N28" s="1" t="s">
        <v>426</v>
      </c>
      <c r="O28">
        <v>6</v>
      </c>
    </row>
    <row r="29" spans="1:15">
      <c r="A29" t="s">
        <v>91</v>
      </c>
      <c r="B29" t="s">
        <v>269</v>
      </c>
      <c r="C29" t="s">
        <v>93</v>
      </c>
      <c r="D29" t="s">
        <v>94</v>
      </c>
      <c r="E29" s="1" t="s">
        <v>423</v>
      </c>
      <c r="F29" s="1">
        <v>74.489999999999995</v>
      </c>
      <c r="G29" t="s">
        <v>95</v>
      </c>
      <c r="I29" s="2">
        <v>45760</v>
      </c>
      <c r="J29" s="2">
        <v>45760</v>
      </c>
      <c r="K29">
        <v>13</v>
      </c>
      <c r="L29">
        <v>4</v>
      </c>
      <c r="M29">
        <v>2025</v>
      </c>
      <c r="N29" s="1" t="s">
        <v>426</v>
      </c>
      <c r="O29">
        <v>6</v>
      </c>
    </row>
    <row r="30" spans="1:15">
      <c r="A30" t="s">
        <v>96</v>
      </c>
      <c r="B30" t="s">
        <v>416</v>
      </c>
      <c r="C30" t="s">
        <v>98</v>
      </c>
      <c r="D30" t="s">
        <v>99</v>
      </c>
      <c r="E30" s="1"/>
      <c r="F30" s="1">
        <v>78</v>
      </c>
      <c r="G30" t="s">
        <v>95</v>
      </c>
      <c r="I30" s="2">
        <v>45760</v>
      </c>
      <c r="J30" s="2">
        <v>45760</v>
      </c>
      <c r="K30">
        <v>13</v>
      </c>
      <c r="L30">
        <v>4</v>
      </c>
      <c r="M30">
        <v>2025</v>
      </c>
      <c r="N30" s="1" t="s">
        <v>426</v>
      </c>
      <c r="O30">
        <v>6</v>
      </c>
    </row>
    <row r="31" spans="1:15">
      <c r="A31" t="s">
        <v>100</v>
      </c>
      <c r="B31" t="s">
        <v>415</v>
      </c>
      <c r="C31" t="s">
        <v>102</v>
      </c>
      <c r="D31" t="s">
        <v>103</v>
      </c>
      <c r="E31" s="1" t="s">
        <v>423</v>
      </c>
      <c r="F31" s="1">
        <v>52.49</v>
      </c>
      <c r="G31" t="s">
        <v>95</v>
      </c>
      <c r="I31" s="2">
        <v>45760</v>
      </c>
      <c r="J31" s="2">
        <v>45760</v>
      </c>
      <c r="K31">
        <v>13</v>
      </c>
      <c r="L31">
        <v>4</v>
      </c>
      <c r="M31">
        <v>2025</v>
      </c>
      <c r="N31" s="1" t="s">
        <v>426</v>
      </c>
      <c r="O31">
        <v>6</v>
      </c>
    </row>
    <row r="32" spans="1:15">
      <c r="A32" t="s">
        <v>61</v>
      </c>
      <c r="B32" t="s">
        <v>413</v>
      </c>
      <c r="C32" t="s">
        <v>30</v>
      </c>
      <c r="D32" t="s">
        <v>61</v>
      </c>
      <c r="E32" s="1" t="s">
        <v>423</v>
      </c>
      <c r="F32" s="1">
        <v>15</v>
      </c>
      <c r="G32" t="s">
        <v>20</v>
      </c>
      <c r="H32" t="s">
        <v>107</v>
      </c>
      <c r="I32" s="2">
        <v>45761</v>
      </c>
      <c r="J32" s="2">
        <v>45762</v>
      </c>
      <c r="K32">
        <v>14</v>
      </c>
      <c r="L32">
        <v>4</v>
      </c>
      <c r="M32">
        <v>2025</v>
      </c>
      <c r="N32" s="1" t="s">
        <v>426</v>
      </c>
      <c r="O32">
        <v>1</v>
      </c>
    </row>
    <row r="33" spans="1:15">
      <c r="B33" t="s">
        <v>413</v>
      </c>
      <c r="D33" t="s">
        <v>61</v>
      </c>
      <c r="E33" s="1" t="s">
        <v>423</v>
      </c>
      <c r="F33" s="1">
        <v>15.5</v>
      </c>
      <c r="G33" t="s">
        <v>20</v>
      </c>
      <c r="H33" t="s">
        <v>110</v>
      </c>
      <c r="I33" s="2">
        <v>45763</v>
      </c>
      <c r="J33" s="2">
        <v>45763</v>
      </c>
      <c r="K33">
        <v>16</v>
      </c>
      <c r="L33">
        <v>4</v>
      </c>
      <c r="M33">
        <v>2025</v>
      </c>
      <c r="N33" s="1" t="s">
        <v>426</v>
      </c>
      <c r="O33">
        <v>2</v>
      </c>
    </row>
    <row r="34" spans="1:15">
      <c r="A34" t="s">
        <v>111</v>
      </c>
      <c r="B34" t="s">
        <v>413</v>
      </c>
      <c r="D34" t="s">
        <v>113</v>
      </c>
      <c r="E34" s="1" t="s">
        <v>423</v>
      </c>
      <c r="F34" s="1">
        <v>153.49</v>
      </c>
      <c r="G34" t="s">
        <v>58</v>
      </c>
      <c r="I34" s="2">
        <v>45763</v>
      </c>
      <c r="J34" s="2">
        <v>45764</v>
      </c>
      <c r="K34">
        <v>16</v>
      </c>
      <c r="L34">
        <v>4</v>
      </c>
      <c r="M34">
        <v>2025</v>
      </c>
      <c r="N34" s="1" t="s">
        <v>426</v>
      </c>
      <c r="O34">
        <v>3</v>
      </c>
    </row>
    <row r="35" spans="1:15">
      <c r="A35" t="s">
        <v>114</v>
      </c>
      <c r="B35" t="s">
        <v>413</v>
      </c>
      <c r="C35" t="s">
        <v>10</v>
      </c>
      <c r="D35" t="s">
        <v>116</v>
      </c>
      <c r="E35" s="1" t="s">
        <v>423</v>
      </c>
      <c r="F35" s="1">
        <v>15.49</v>
      </c>
      <c r="G35" t="s">
        <v>58</v>
      </c>
      <c r="I35" s="2">
        <v>45763</v>
      </c>
      <c r="J35" s="2">
        <v>45765</v>
      </c>
      <c r="K35">
        <v>16</v>
      </c>
      <c r="L35">
        <v>4</v>
      </c>
      <c r="M35">
        <v>2025</v>
      </c>
      <c r="N35" s="1" t="s">
        <v>426</v>
      </c>
      <c r="O35">
        <v>4</v>
      </c>
    </row>
    <row r="36" spans="1:15">
      <c r="A36" t="s">
        <v>91</v>
      </c>
      <c r="B36" t="s">
        <v>269</v>
      </c>
      <c r="C36" t="s">
        <v>122</v>
      </c>
      <c r="D36" t="s">
        <v>94</v>
      </c>
      <c r="E36" s="1" t="s">
        <v>423</v>
      </c>
      <c r="F36" s="1">
        <v>161.49</v>
      </c>
      <c r="G36" t="s">
        <v>20</v>
      </c>
      <c r="H36" t="s">
        <v>123</v>
      </c>
      <c r="I36" s="2">
        <v>45764</v>
      </c>
      <c r="J36" s="2">
        <v>45764</v>
      </c>
      <c r="K36">
        <v>17</v>
      </c>
      <c r="L36">
        <v>4</v>
      </c>
      <c r="M36">
        <v>2025</v>
      </c>
      <c r="N36" s="1" t="s">
        <v>426</v>
      </c>
      <c r="O36">
        <v>3</v>
      </c>
    </row>
    <row r="37" spans="1:15">
      <c r="B37" t="s">
        <v>269</v>
      </c>
      <c r="C37" t="s">
        <v>126</v>
      </c>
      <c r="D37" t="s">
        <v>127</v>
      </c>
      <c r="E37" s="1" t="s">
        <v>423</v>
      </c>
      <c r="F37" s="1">
        <v>119.5</v>
      </c>
      <c r="G37" t="s">
        <v>20</v>
      </c>
      <c r="I37" s="2">
        <v>45765</v>
      </c>
      <c r="J37" s="2">
        <v>45767</v>
      </c>
      <c r="K37">
        <v>18</v>
      </c>
      <c r="L37">
        <v>4</v>
      </c>
      <c r="M37">
        <v>2025</v>
      </c>
      <c r="N37" s="1" t="s">
        <v>426</v>
      </c>
      <c r="O37">
        <v>6</v>
      </c>
    </row>
    <row r="38" spans="1:15">
      <c r="A38" t="s">
        <v>100</v>
      </c>
      <c r="B38" t="s">
        <v>415</v>
      </c>
      <c r="C38" t="s">
        <v>125</v>
      </c>
      <c r="D38" t="s">
        <v>103</v>
      </c>
      <c r="E38" s="1" t="s">
        <v>423</v>
      </c>
      <c r="F38" s="1">
        <v>189</v>
      </c>
      <c r="G38" t="s">
        <v>95</v>
      </c>
      <c r="I38" s="2">
        <v>45764</v>
      </c>
      <c r="J38" s="2">
        <v>45765</v>
      </c>
      <c r="K38">
        <v>17</v>
      </c>
      <c r="L38">
        <v>4</v>
      </c>
      <c r="M38">
        <v>2025</v>
      </c>
      <c r="N38" s="1" t="s">
        <v>426</v>
      </c>
      <c r="O38">
        <v>4</v>
      </c>
    </row>
    <row r="39" spans="1:15">
      <c r="A39" t="s">
        <v>114</v>
      </c>
      <c r="B39" t="s">
        <v>413</v>
      </c>
      <c r="C39" t="s">
        <v>10</v>
      </c>
      <c r="D39" t="s">
        <v>116</v>
      </c>
      <c r="E39" s="1" t="s">
        <v>423</v>
      </c>
      <c r="F39" s="1">
        <v>16</v>
      </c>
      <c r="G39" t="s">
        <v>95</v>
      </c>
      <c r="I39" s="2">
        <v>45765</v>
      </c>
      <c r="J39" s="2">
        <v>45767</v>
      </c>
      <c r="K39">
        <v>18</v>
      </c>
      <c r="L39">
        <v>4</v>
      </c>
      <c r="M39">
        <v>2025</v>
      </c>
      <c r="N39" s="1" t="s">
        <v>426</v>
      </c>
      <c r="O39">
        <v>6</v>
      </c>
    </row>
    <row r="40" spans="1:15">
      <c r="A40" t="s">
        <v>131</v>
      </c>
      <c r="B40" t="s">
        <v>413</v>
      </c>
      <c r="C40" t="s">
        <v>22</v>
      </c>
      <c r="D40" t="s">
        <v>132</v>
      </c>
      <c r="E40" s="1"/>
      <c r="F40" s="1">
        <v>22</v>
      </c>
      <c r="G40" t="s">
        <v>12</v>
      </c>
      <c r="I40" s="2">
        <v>45767</v>
      </c>
      <c r="J40" s="2">
        <v>45767</v>
      </c>
      <c r="K40">
        <v>20</v>
      </c>
      <c r="L40">
        <v>4</v>
      </c>
      <c r="M40">
        <v>2025</v>
      </c>
      <c r="N40" s="1" t="s">
        <v>426</v>
      </c>
      <c r="O40">
        <v>6</v>
      </c>
    </row>
    <row r="41" spans="1:15">
      <c r="A41" t="s">
        <v>133</v>
      </c>
      <c r="B41" t="s">
        <v>46</v>
      </c>
      <c r="C41" t="s">
        <v>85</v>
      </c>
      <c r="D41" t="s">
        <v>133</v>
      </c>
      <c r="E41" s="1" t="s">
        <v>422</v>
      </c>
      <c r="F41" s="1">
        <v>29</v>
      </c>
      <c r="G41" t="s">
        <v>58</v>
      </c>
      <c r="H41" t="s">
        <v>135</v>
      </c>
      <c r="I41" s="2">
        <v>45767</v>
      </c>
      <c r="J41" s="2">
        <v>45769</v>
      </c>
      <c r="K41">
        <v>20</v>
      </c>
      <c r="L41">
        <v>4</v>
      </c>
      <c r="M41">
        <v>2025</v>
      </c>
      <c r="N41" s="1" t="s">
        <v>426</v>
      </c>
      <c r="O41">
        <v>1</v>
      </c>
    </row>
    <row r="42" spans="1:15">
      <c r="B42" t="s">
        <v>417</v>
      </c>
      <c r="D42" t="s">
        <v>137</v>
      </c>
      <c r="E42" s="1" t="s">
        <v>423</v>
      </c>
      <c r="F42" s="1">
        <v>70</v>
      </c>
      <c r="G42" t="s">
        <v>95</v>
      </c>
      <c r="I42" s="2">
        <v>45768</v>
      </c>
      <c r="J42" s="2">
        <v>45770</v>
      </c>
      <c r="K42">
        <v>21</v>
      </c>
      <c r="L42">
        <v>4</v>
      </c>
      <c r="M42">
        <v>2025</v>
      </c>
      <c r="N42" s="1" t="s">
        <v>426</v>
      </c>
      <c r="O42">
        <v>2</v>
      </c>
    </row>
    <row r="43" spans="1:15">
      <c r="A43" t="s">
        <v>138</v>
      </c>
      <c r="B43" t="s">
        <v>413</v>
      </c>
      <c r="C43" t="s">
        <v>139</v>
      </c>
      <c r="D43" t="s">
        <v>71</v>
      </c>
      <c r="E43" s="1" t="s">
        <v>422</v>
      </c>
      <c r="F43" s="1">
        <v>48</v>
      </c>
      <c r="G43" t="s">
        <v>95</v>
      </c>
      <c r="H43" t="s">
        <v>140</v>
      </c>
      <c r="I43" s="2">
        <v>45768</v>
      </c>
      <c r="J43" s="2">
        <v>45769</v>
      </c>
      <c r="K43">
        <v>21</v>
      </c>
      <c r="L43">
        <v>4</v>
      </c>
      <c r="M43">
        <v>2025</v>
      </c>
      <c r="N43" s="1" t="s">
        <v>426</v>
      </c>
      <c r="O43">
        <v>1</v>
      </c>
    </row>
    <row r="44" spans="1:15">
      <c r="B44" t="s">
        <v>415</v>
      </c>
      <c r="C44" t="s">
        <v>141</v>
      </c>
      <c r="D44" t="s">
        <v>142</v>
      </c>
      <c r="E44" s="1" t="s">
        <v>422</v>
      </c>
      <c r="F44" s="1">
        <v>101.95</v>
      </c>
      <c r="G44" t="s">
        <v>20</v>
      </c>
      <c r="I44" s="2">
        <v>45768</v>
      </c>
      <c r="J44" s="2">
        <v>45769</v>
      </c>
      <c r="K44">
        <v>21</v>
      </c>
      <c r="L44">
        <v>4</v>
      </c>
      <c r="M44">
        <v>2025</v>
      </c>
      <c r="N44" s="1" t="s">
        <v>426</v>
      </c>
      <c r="O44">
        <v>1</v>
      </c>
    </row>
    <row r="45" spans="1:15">
      <c r="A45" t="s">
        <v>14</v>
      </c>
      <c r="B45" t="s">
        <v>218</v>
      </c>
      <c r="C45" t="s">
        <v>40</v>
      </c>
      <c r="D45" t="s">
        <v>144</v>
      </c>
      <c r="E45" s="1" t="s">
        <v>423</v>
      </c>
      <c r="F45" s="1">
        <v>65</v>
      </c>
      <c r="G45" t="s">
        <v>95</v>
      </c>
      <c r="I45" s="2">
        <v>45769</v>
      </c>
      <c r="J45" s="2">
        <v>45769</v>
      </c>
      <c r="K45">
        <v>22</v>
      </c>
      <c r="L45">
        <v>4</v>
      </c>
      <c r="M45">
        <v>2025</v>
      </c>
      <c r="N45" s="1" t="s">
        <v>426</v>
      </c>
      <c r="O45">
        <v>1</v>
      </c>
    </row>
    <row r="46" spans="1:15">
      <c r="A46" t="s">
        <v>114</v>
      </c>
      <c r="B46" t="s">
        <v>413</v>
      </c>
      <c r="C46" t="s">
        <v>60</v>
      </c>
      <c r="D46" t="s">
        <v>145</v>
      </c>
      <c r="E46" s="1" t="s">
        <v>422</v>
      </c>
      <c r="F46" s="1">
        <v>6</v>
      </c>
      <c r="G46" t="s">
        <v>95</v>
      </c>
      <c r="H46" t="s">
        <v>146</v>
      </c>
      <c r="I46" s="2">
        <v>45770</v>
      </c>
      <c r="J46" s="2">
        <v>45771</v>
      </c>
      <c r="K46">
        <v>23</v>
      </c>
      <c r="L46">
        <v>4</v>
      </c>
      <c r="M46">
        <v>2025</v>
      </c>
      <c r="N46" s="1" t="s">
        <v>426</v>
      </c>
      <c r="O46">
        <v>3</v>
      </c>
    </row>
    <row r="47" spans="1:15">
      <c r="A47" t="s">
        <v>14</v>
      </c>
      <c r="B47" t="s">
        <v>218</v>
      </c>
      <c r="C47" t="s">
        <v>40</v>
      </c>
      <c r="D47" t="s">
        <v>147</v>
      </c>
      <c r="E47" s="1" t="s">
        <v>422</v>
      </c>
      <c r="F47" s="1">
        <v>106.49</v>
      </c>
      <c r="G47" t="s">
        <v>16</v>
      </c>
      <c r="H47" t="s">
        <v>148</v>
      </c>
      <c r="I47" s="2">
        <v>45770</v>
      </c>
      <c r="J47" s="2">
        <v>45771</v>
      </c>
      <c r="K47">
        <v>23</v>
      </c>
      <c r="L47">
        <v>4</v>
      </c>
      <c r="M47">
        <v>2025</v>
      </c>
      <c r="N47" s="1" t="s">
        <v>426</v>
      </c>
      <c r="O47">
        <v>3</v>
      </c>
    </row>
    <row r="48" spans="1:15">
      <c r="B48" t="s">
        <v>218</v>
      </c>
      <c r="C48" t="s">
        <v>35</v>
      </c>
      <c r="D48" t="s">
        <v>149</v>
      </c>
      <c r="E48" s="1"/>
      <c r="F48" s="1">
        <v>44</v>
      </c>
      <c r="G48" t="s">
        <v>16</v>
      </c>
      <c r="I48" s="2">
        <v>45772</v>
      </c>
      <c r="J48" s="2">
        <v>45774</v>
      </c>
      <c r="K48">
        <v>25</v>
      </c>
      <c r="L48">
        <v>4</v>
      </c>
      <c r="M48">
        <v>2025</v>
      </c>
      <c r="N48" s="1" t="s">
        <v>426</v>
      </c>
      <c r="O48">
        <v>6</v>
      </c>
    </row>
    <row r="49" spans="1:15">
      <c r="A49" t="s">
        <v>150</v>
      </c>
      <c r="B49" t="s">
        <v>417</v>
      </c>
      <c r="C49" t="s">
        <v>151</v>
      </c>
      <c r="D49" t="s">
        <v>152</v>
      </c>
      <c r="E49" s="1" t="s">
        <v>423</v>
      </c>
      <c r="F49" s="1">
        <v>637.49</v>
      </c>
      <c r="G49" t="s">
        <v>58</v>
      </c>
      <c r="H49" t="s">
        <v>153</v>
      </c>
      <c r="I49" s="2">
        <v>45772</v>
      </c>
      <c r="J49" s="2">
        <v>45774</v>
      </c>
      <c r="K49">
        <v>25</v>
      </c>
      <c r="L49">
        <v>4</v>
      </c>
      <c r="M49">
        <v>2025</v>
      </c>
      <c r="N49" s="1" t="s">
        <v>426</v>
      </c>
      <c r="O49">
        <v>6</v>
      </c>
    </row>
    <row r="50" spans="1:15">
      <c r="B50" t="s">
        <v>269</v>
      </c>
      <c r="C50" t="s">
        <v>93</v>
      </c>
      <c r="D50" t="s">
        <v>154</v>
      </c>
      <c r="E50" s="1" t="s">
        <v>423</v>
      </c>
      <c r="F50" s="1">
        <v>108.49</v>
      </c>
      <c r="G50" t="s">
        <v>58</v>
      </c>
      <c r="H50" t="s">
        <v>155</v>
      </c>
      <c r="I50" s="2">
        <v>45773</v>
      </c>
      <c r="J50" s="2">
        <v>45775</v>
      </c>
      <c r="K50">
        <v>26</v>
      </c>
      <c r="L50">
        <v>4</v>
      </c>
      <c r="M50">
        <v>2025</v>
      </c>
      <c r="N50" s="1" t="s">
        <v>426</v>
      </c>
      <c r="O50">
        <v>0</v>
      </c>
    </row>
    <row r="51" spans="1:15">
      <c r="A51" t="s">
        <v>156</v>
      </c>
      <c r="B51" t="s">
        <v>413</v>
      </c>
      <c r="C51" t="s">
        <v>60</v>
      </c>
      <c r="D51" t="s">
        <v>157</v>
      </c>
      <c r="E51" s="1" t="s">
        <v>422</v>
      </c>
      <c r="F51" s="1">
        <v>10</v>
      </c>
      <c r="G51" t="s">
        <v>20</v>
      </c>
      <c r="H51" t="s">
        <v>158</v>
      </c>
      <c r="I51" s="2">
        <v>45773</v>
      </c>
      <c r="J51" s="2">
        <v>45773</v>
      </c>
      <c r="K51">
        <v>26</v>
      </c>
      <c r="L51">
        <v>4</v>
      </c>
      <c r="M51">
        <v>2025</v>
      </c>
      <c r="N51" s="1" t="s">
        <v>426</v>
      </c>
      <c r="O51">
        <v>5</v>
      </c>
    </row>
    <row r="52" spans="1:15">
      <c r="B52" t="s">
        <v>415</v>
      </c>
      <c r="C52" t="s">
        <v>89</v>
      </c>
      <c r="D52" t="s">
        <v>159</v>
      </c>
      <c r="E52" s="1" t="s">
        <v>423</v>
      </c>
      <c r="F52" s="1">
        <v>261.99</v>
      </c>
      <c r="G52" t="s">
        <v>16</v>
      </c>
      <c r="H52" t="s">
        <v>160</v>
      </c>
      <c r="I52" s="2">
        <v>45774</v>
      </c>
      <c r="J52" s="2">
        <v>45774</v>
      </c>
      <c r="K52">
        <v>27</v>
      </c>
      <c r="L52">
        <v>4</v>
      </c>
      <c r="M52">
        <v>2025</v>
      </c>
      <c r="N52" s="1" t="s">
        <v>426</v>
      </c>
      <c r="O52">
        <v>6</v>
      </c>
    </row>
    <row r="53" spans="1:15">
      <c r="A53" t="s">
        <v>161</v>
      </c>
      <c r="B53" t="s">
        <v>415</v>
      </c>
      <c r="C53" t="s">
        <v>141</v>
      </c>
      <c r="D53" t="s">
        <v>162</v>
      </c>
      <c r="E53" s="1" t="s">
        <v>423</v>
      </c>
      <c r="F53" s="1">
        <v>47.49</v>
      </c>
      <c r="G53" t="s">
        <v>12</v>
      </c>
      <c r="H53" t="s">
        <v>163</v>
      </c>
      <c r="I53" s="2">
        <v>45776</v>
      </c>
      <c r="J53" s="2">
        <v>45778</v>
      </c>
      <c r="K53">
        <v>29</v>
      </c>
      <c r="L53">
        <v>4</v>
      </c>
      <c r="M53">
        <v>2025</v>
      </c>
      <c r="N53" s="1" t="s">
        <v>426</v>
      </c>
      <c r="O53">
        <v>3</v>
      </c>
    </row>
    <row r="54" spans="1:15">
      <c r="B54" t="s">
        <v>413</v>
      </c>
      <c r="C54" t="s">
        <v>130</v>
      </c>
      <c r="D54" t="s">
        <v>165</v>
      </c>
      <c r="E54" s="1" t="s">
        <v>422</v>
      </c>
      <c r="F54" s="1">
        <v>170.49</v>
      </c>
      <c r="G54" t="s">
        <v>12</v>
      </c>
      <c r="H54" t="s">
        <v>166</v>
      </c>
      <c r="I54" s="2">
        <v>45776</v>
      </c>
      <c r="J54" s="2">
        <v>45777</v>
      </c>
      <c r="K54">
        <v>29</v>
      </c>
      <c r="L54">
        <v>4</v>
      </c>
      <c r="M54">
        <v>2025</v>
      </c>
      <c r="N54" s="1" t="s">
        <v>426</v>
      </c>
      <c r="O54">
        <v>2</v>
      </c>
    </row>
    <row r="55" spans="1:15">
      <c r="A55" t="s">
        <v>167</v>
      </c>
      <c r="B55" t="s">
        <v>413</v>
      </c>
      <c r="C55" t="s">
        <v>82</v>
      </c>
      <c r="D55" t="s">
        <v>168</v>
      </c>
      <c r="E55" s="1"/>
      <c r="F55" s="1">
        <v>196.5</v>
      </c>
      <c r="G55" t="s">
        <v>20</v>
      </c>
      <c r="I55" s="2">
        <v>45777</v>
      </c>
      <c r="J55" s="2">
        <v>45779</v>
      </c>
      <c r="K55">
        <v>30</v>
      </c>
      <c r="L55">
        <v>4</v>
      </c>
      <c r="M55">
        <v>2025</v>
      </c>
      <c r="N55" s="1" t="s">
        <v>426</v>
      </c>
      <c r="O55">
        <v>4</v>
      </c>
    </row>
    <row r="56" spans="1:15">
      <c r="B56" t="s">
        <v>218</v>
      </c>
      <c r="C56" t="s">
        <v>170</v>
      </c>
      <c r="D56" t="s">
        <v>171</v>
      </c>
      <c r="E56" s="1" t="s">
        <v>423</v>
      </c>
      <c r="F56" s="1">
        <v>548.95000000000005</v>
      </c>
      <c r="G56" t="s">
        <v>95</v>
      </c>
      <c r="I56" s="2">
        <v>45689</v>
      </c>
      <c r="J56" s="2">
        <v>45691</v>
      </c>
      <c r="K56">
        <v>1</v>
      </c>
      <c r="L56">
        <v>2</v>
      </c>
      <c r="M56">
        <v>2025</v>
      </c>
      <c r="N56" s="1" t="s">
        <v>427</v>
      </c>
      <c r="O56">
        <v>0</v>
      </c>
    </row>
    <row r="57" spans="1:15">
      <c r="A57" t="s">
        <v>14</v>
      </c>
      <c r="B57" t="s">
        <v>218</v>
      </c>
      <c r="C57" t="s">
        <v>172</v>
      </c>
      <c r="D57" t="s">
        <v>173</v>
      </c>
      <c r="E57" s="1"/>
      <c r="F57" s="1">
        <v>6.49</v>
      </c>
      <c r="G57" t="s">
        <v>95</v>
      </c>
      <c r="I57" s="2">
        <v>45689</v>
      </c>
      <c r="J57" s="2">
        <v>45689</v>
      </c>
      <c r="K57">
        <v>1</v>
      </c>
      <c r="L57">
        <v>2</v>
      </c>
      <c r="M57">
        <v>2025</v>
      </c>
      <c r="N57" s="1" t="s">
        <v>427</v>
      </c>
      <c r="O57">
        <v>5</v>
      </c>
    </row>
    <row r="58" spans="1:15">
      <c r="A58" t="s">
        <v>174</v>
      </c>
      <c r="B58" t="s">
        <v>269</v>
      </c>
      <c r="C58" t="s">
        <v>93</v>
      </c>
      <c r="D58" t="s">
        <v>176</v>
      </c>
      <c r="E58" s="1" t="s">
        <v>423</v>
      </c>
      <c r="F58" s="1">
        <v>166</v>
      </c>
      <c r="G58" t="s">
        <v>58</v>
      </c>
      <c r="I58" s="2">
        <v>45690</v>
      </c>
      <c r="J58" s="2">
        <v>45690</v>
      </c>
      <c r="K58">
        <v>2</v>
      </c>
      <c r="L58">
        <v>2</v>
      </c>
      <c r="M58">
        <v>2025</v>
      </c>
      <c r="N58" s="1" t="s">
        <v>427</v>
      </c>
      <c r="O58">
        <v>6</v>
      </c>
    </row>
    <row r="59" spans="1:15">
      <c r="A59" t="s">
        <v>177</v>
      </c>
      <c r="B59" t="s">
        <v>414</v>
      </c>
      <c r="C59" t="s">
        <v>178</v>
      </c>
      <c r="D59" t="s">
        <v>179</v>
      </c>
      <c r="E59" s="1"/>
      <c r="F59" s="1">
        <v>157.99</v>
      </c>
      <c r="G59" t="s">
        <v>16</v>
      </c>
      <c r="I59" s="2">
        <v>45690</v>
      </c>
      <c r="J59" s="2">
        <v>45691</v>
      </c>
      <c r="K59">
        <v>2</v>
      </c>
      <c r="L59">
        <v>2</v>
      </c>
      <c r="M59">
        <v>2025</v>
      </c>
      <c r="N59" s="1" t="s">
        <v>427</v>
      </c>
      <c r="O59">
        <v>0</v>
      </c>
    </row>
    <row r="60" spans="1:15">
      <c r="A60" t="s">
        <v>181</v>
      </c>
      <c r="B60" t="s">
        <v>218</v>
      </c>
      <c r="C60" t="s">
        <v>35</v>
      </c>
      <c r="D60" t="s">
        <v>182</v>
      </c>
      <c r="E60" s="1" t="s">
        <v>423</v>
      </c>
      <c r="F60" s="1">
        <v>103.95</v>
      </c>
      <c r="G60" t="s">
        <v>95</v>
      </c>
      <c r="H60" t="s">
        <v>183</v>
      </c>
      <c r="I60" s="2">
        <v>45691</v>
      </c>
      <c r="J60" s="2">
        <v>45693</v>
      </c>
      <c r="K60">
        <v>3</v>
      </c>
      <c r="L60">
        <v>2</v>
      </c>
      <c r="M60">
        <v>2025</v>
      </c>
      <c r="N60" s="1" t="s">
        <v>427</v>
      </c>
      <c r="O60">
        <v>2</v>
      </c>
    </row>
    <row r="61" spans="1:15">
      <c r="B61" t="s">
        <v>218</v>
      </c>
      <c r="C61" t="s">
        <v>35</v>
      </c>
      <c r="D61" t="s">
        <v>185</v>
      </c>
      <c r="E61" s="1" t="s">
        <v>423</v>
      </c>
      <c r="F61" s="1">
        <v>38.99</v>
      </c>
      <c r="G61" t="s">
        <v>20</v>
      </c>
      <c r="H61" t="s">
        <v>186</v>
      </c>
      <c r="I61" s="2">
        <v>45694</v>
      </c>
      <c r="J61" s="2">
        <v>45695</v>
      </c>
      <c r="K61">
        <v>6</v>
      </c>
      <c r="L61">
        <v>2</v>
      </c>
      <c r="M61">
        <v>2025</v>
      </c>
      <c r="N61" s="1" t="s">
        <v>427</v>
      </c>
      <c r="O61">
        <v>4</v>
      </c>
    </row>
    <row r="62" spans="1:15">
      <c r="A62" t="s">
        <v>167</v>
      </c>
      <c r="B62" t="s">
        <v>413</v>
      </c>
      <c r="C62" t="s">
        <v>187</v>
      </c>
      <c r="D62" t="s">
        <v>84</v>
      </c>
      <c r="E62" s="1"/>
      <c r="F62" s="1">
        <v>169.95</v>
      </c>
      <c r="G62" t="s">
        <v>20</v>
      </c>
      <c r="I62" s="2">
        <v>45694</v>
      </c>
      <c r="J62" s="2">
        <v>45696</v>
      </c>
      <c r="K62">
        <v>6</v>
      </c>
      <c r="L62">
        <v>2</v>
      </c>
      <c r="M62">
        <v>2025</v>
      </c>
      <c r="N62" s="1" t="s">
        <v>427</v>
      </c>
      <c r="O62">
        <v>5</v>
      </c>
    </row>
    <row r="63" spans="1:15">
      <c r="B63" t="s">
        <v>414</v>
      </c>
      <c r="C63" t="s">
        <v>189</v>
      </c>
      <c r="D63" t="s">
        <v>190</v>
      </c>
      <c r="E63" s="1" t="s">
        <v>423</v>
      </c>
      <c r="F63" s="1">
        <v>141</v>
      </c>
      <c r="G63" t="s">
        <v>20</v>
      </c>
      <c r="I63" s="2">
        <v>45694</v>
      </c>
      <c r="J63" s="2">
        <v>45695</v>
      </c>
      <c r="K63">
        <v>6</v>
      </c>
      <c r="L63">
        <v>2</v>
      </c>
      <c r="M63">
        <v>2025</v>
      </c>
      <c r="N63" s="1" t="s">
        <v>427</v>
      </c>
      <c r="O63">
        <v>4</v>
      </c>
    </row>
    <row r="64" spans="1:15">
      <c r="B64" t="s">
        <v>413</v>
      </c>
      <c r="C64" t="s">
        <v>10</v>
      </c>
      <c r="D64" t="s">
        <v>128</v>
      </c>
      <c r="E64" s="1" t="s">
        <v>423</v>
      </c>
      <c r="F64" s="1">
        <v>16.22</v>
      </c>
      <c r="G64" t="s">
        <v>16</v>
      </c>
      <c r="I64" s="2">
        <v>45697</v>
      </c>
      <c r="J64" s="2">
        <v>45697</v>
      </c>
      <c r="K64">
        <v>9</v>
      </c>
      <c r="L64">
        <v>2</v>
      </c>
      <c r="M64">
        <v>2025</v>
      </c>
      <c r="N64" s="1" t="s">
        <v>427</v>
      </c>
      <c r="O64">
        <v>6</v>
      </c>
    </row>
    <row r="65" spans="1:15">
      <c r="A65" t="s">
        <v>68</v>
      </c>
      <c r="B65" t="s">
        <v>218</v>
      </c>
      <c r="C65" t="s">
        <v>192</v>
      </c>
      <c r="D65" t="s">
        <v>193</v>
      </c>
      <c r="E65" s="1" t="s">
        <v>423</v>
      </c>
      <c r="F65" s="1">
        <v>118.49</v>
      </c>
      <c r="G65" t="s">
        <v>58</v>
      </c>
      <c r="I65" s="2">
        <v>45698</v>
      </c>
      <c r="J65" s="2">
        <v>45698</v>
      </c>
      <c r="K65">
        <v>10</v>
      </c>
      <c r="L65">
        <v>2</v>
      </c>
      <c r="M65">
        <v>2025</v>
      </c>
      <c r="N65" s="1" t="s">
        <v>427</v>
      </c>
      <c r="O65">
        <v>0</v>
      </c>
    </row>
    <row r="66" spans="1:15">
      <c r="A66" t="s">
        <v>194</v>
      </c>
      <c r="B66" t="s">
        <v>413</v>
      </c>
      <c r="C66" t="s">
        <v>139</v>
      </c>
      <c r="D66" t="s">
        <v>195</v>
      </c>
      <c r="E66" s="1" t="s">
        <v>423</v>
      </c>
      <c r="F66" s="1">
        <v>83.95</v>
      </c>
      <c r="G66" t="s">
        <v>16</v>
      </c>
      <c r="H66" t="s">
        <v>196</v>
      </c>
      <c r="I66" s="2">
        <v>45699</v>
      </c>
      <c r="J66" s="2">
        <v>45699</v>
      </c>
      <c r="K66">
        <v>11</v>
      </c>
      <c r="L66">
        <v>2</v>
      </c>
      <c r="M66">
        <v>2025</v>
      </c>
      <c r="N66" s="1" t="s">
        <v>427</v>
      </c>
      <c r="O66">
        <v>1</v>
      </c>
    </row>
    <row r="67" spans="1:15">
      <c r="A67" t="s">
        <v>197</v>
      </c>
      <c r="B67" t="s">
        <v>415</v>
      </c>
      <c r="C67" t="s">
        <v>199</v>
      </c>
      <c r="D67" t="s">
        <v>197</v>
      </c>
      <c r="E67" s="1" t="s">
        <v>422</v>
      </c>
      <c r="F67" s="1">
        <v>304.5</v>
      </c>
      <c r="G67" t="s">
        <v>20</v>
      </c>
      <c r="H67" t="s">
        <v>200</v>
      </c>
      <c r="I67" s="2">
        <v>45699</v>
      </c>
      <c r="J67" s="2">
        <v>45700</v>
      </c>
      <c r="K67">
        <v>11</v>
      </c>
      <c r="L67">
        <v>2</v>
      </c>
      <c r="M67">
        <v>2025</v>
      </c>
      <c r="N67" s="1" t="s">
        <v>427</v>
      </c>
      <c r="O67">
        <v>2</v>
      </c>
    </row>
    <row r="68" spans="1:15">
      <c r="A68" t="s">
        <v>201</v>
      </c>
      <c r="B68" t="s">
        <v>418</v>
      </c>
      <c r="D68" t="s">
        <v>203</v>
      </c>
      <c r="E68" s="1" t="s">
        <v>423</v>
      </c>
      <c r="F68" s="1">
        <v>90.5</v>
      </c>
      <c r="G68" t="s">
        <v>12</v>
      </c>
      <c r="I68" s="2">
        <v>45699</v>
      </c>
      <c r="J68" s="2">
        <v>45700</v>
      </c>
      <c r="K68">
        <v>11</v>
      </c>
      <c r="L68">
        <v>2</v>
      </c>
      <c r="M68">
        <v>2025</v>
      </c>
      <c r="N68" s="1" t="s">
        <v>427</v>
      </c>
      <c r="O68">
        <v>2</v>
      </c>
    </row>
    <row r="69" spans="1:15">
      <c r="A69" t="s">
        <v>204</v>
      </c>
      <c r="B69" t="s">
        <v>414</v>
      </c>
      <c r="C69" t="s">
        <v>189</v>
      </c>
      <c r="D69" t="s">
        <v>204</v>
      </c>
      <c r="E69" s="1" t="s">
        <v>422</v>
      </c>
      <c r="F69" s="1">
        <v>194.99</v>
      </c>
      <c r="G69" t="s">
        <v>58</v>
      </c>
      <c r="H69" t="s">
        <v>205</v>
      </c>
      <c r="I69" s="2">
        <v>45699</v>
      </c>
      <c r="J69" s="2">
        <v>45700</v>
      </c>
      <c r="K69">
        <v>11</v>
      </c>
      <c r="L69">
        <v>2</v>
      </c>
      <c r="M69">
        <v>2025</v>
      </c>
      <c r="N69" s="1" t="s">
        <v>427</v>
      </c>
      <c r="O69">
        <v>2</v>
      </c>
    </row>
    <row r="70" spans="1:15">
      <c r="B70" t="s">
        <v>417</v>
      </c>
      <c r="C70" t="s">
        <v>207</v>
      </c>
      <c r="D70" t="s">
        <v>208</v>
      </c>
      <c r="E70" s="1" t="s">
        <v>423</v>
      </c>
      <c r="F70" s="1">
        <v>296.95</v>
      </c>
      <c r="G70" t="s">
        <v>12</v>
      </c>
      <c r="I70" s="2">
        <v>45699</v>
      </c>
      <c r="J70" s="2">
        <v>45701</v>
      </c>
      <c r="K70">
        <v>11</v>
      </c>
      <c r="L70">
        <v>2</v>
      </c>
      <c r="M70">
        <v>2025</v>
      </c>
      <c r="N70" s="1" t="s">
        <v>427</v>
      </c>
      <c r="O70">
        <v>3</v>
      </c>
    </row>
    <row r="71" spans="1:15">
      <c r="A71" t="s">
        <v>209</v>
      </c>
      <c r="B71" t="s">
        <v>269</v>
      </c>
      <c r="C71" t="s">
        <v>210</v>
      </c>
      <c r="D71" t="s">
        <v>211</v>
      </c>
      <c r="E71" s="1" t="s">
        <v>423</v>
      </c>
      <c r="F71" s="1">
        <v>138.99</v>
      </c>
      <c r="G71" t="s">
        <v>20</v>
      </c>
      <c r="H71" t="s">
        <v>212</v>
      </c>
      <c r="I71" s="2">
        <v>45700</v>
      </c>
      <c r="J71" s="2">
        <v>45702</v>
      </c>
      <c r="K71">
        <v>12</v>
      </c>
      <c r="L71">
        <v>2</v>
      </c>
      <c r="M71">
        <v>2025</v>
      </c>
      <c r="N71" s="1" t="s">
        <v>427</v>
      </c>
      <c r="O71">
        <v>4</v>
      </c>
    </row>
    <row r="72" spans="1:15">
      <c r="A72" t="s">
        <v>214</v>
      </c>
      <c r="B72" t="s">
        <v>416</v>
      </c>
      <c r="C72" t="s">
        <v>215</v>
      </c>
      <c r="D72" t="s">
        <v>216</v>
      </c>
      <c r="E72" s="1" t="s">
        <v>423</v>
      </c>
      <c r="F72" s="1">
        <v>157.49</v>
      </c>
      <c r="G72" t="s">
        <v>20</v>
      </c>
      <c r="H72" t="s">
        <v>217</v>
      </c>
      <c r="I72" s="2">
        <v>45701</v>
      </c>
      <c r="J72" s="2">
        <v>45703</v>
      </c>
      <c r="K72">
        <v>13</v>
      </c>
      <c r="L72">
        <v>2</v>
      </c>
      <c r="M72">
        <v>2025</v>
      </c>
      <c r="N72" s="1" t="s">
        <v>427</v>
      </c>
      <c r="O72">
        <v>5</v>
      </c>
    </row>
    <row r="73" spans="1:15">
      <c r="B73" t="s">
        <v>413</v>
      </c>
      <c r="C73" t="s">
        <v>83</v>
      </c>
      <c r="D73" t="s">
        <v>219</v>
      </c>
      <c r="E73" s="1" t="s">
        <v>423</v>
      </c>
      <c r="F73" s="1">
        <v>78.989999999999995</v>
      </c>
      <c r="G73" t="s">
        <v>12</v>
      </c>
      <c r="H73" t="s">
        <v>220</v>
      </c>
      <c r="I73" s="2">
        <v>45702</v>
      </c>
      <c r="J73" s="2">
        <v>45704</v>
      </c>
      <c r="K73">
        <v>14</v>
      </c>
      <c r="L73">
        <v>2</v>
      </c>
      <c r="M73">
        <v>2025</v>
      </c>
      <c r="N73" s="1" t="s">
        <v>427</v>
      </c>
      <c r="O73">
        <v>6</v>
      </c>
    </row>
    <row r="74" spans="1:15">
      <c r="B74" t="s">
        <v>269</v>
      </c>
      <c r="C74" t="s">
        <v>93</v>
      </c>
      <c r="D74" t="s">
        <v>222</v>
      </c>
      <c r="E74" s="1" t="s">
        <v>423</v>
      </c>
      <c r="F74" s="1">
        <v>59.95</v>
      </c>
      <c r="G74" t="s">
        <v>20</v>
      </c>
      <c r="I74" s="2">
        <v>45702</v>
      </c>
      <c r="J74" s="2">
        <v>45702</v>
      </c>
      <c r="K74">
        <v>14</v>
      </c>
      <c r="L74">
        <v>2</v>
      </c>
      <c r="M74">
        <v>2025</v>
      </c>
      <c r="N74" s="1" t="s">
        <v>427</v>
      </c>
      <c r="O74">
        <v>4</v>
      </c>
    </row>
    <row r="75" spans="1:15">
      <c r="A75" t="s">
        <v>81</v>
      </c>
      <c r="B75" t="s">
        <v>413</v>
      </c>
      <c r="D75" t="s">
        <v>81</v>
      </c>
      <c r="E75" s="1" t="s">
        <v>423</v>
      </c>
      <c r="F75" s="1">
        <v>200.63</v>
      </c>
      <c r="G75" t="s">
        <v>95</v>
      </c>
      <c r="I75" s="2">
        <v>45703</v>
      </c>
      <c r="J75" s="2">
        <v>45705</v>
      </c>
      <c r="K75">
        <v>15</v>
      </c>
      <c r="L75">
        <v>2</v>
      </c>
      <c r="M75">
        <v>2025</v>
      </c>
      <c r="N75" s="1" t="s">
        <v>427</v>
      </c>
      <c r="O75">
        <v>0</v>
      </c>
    </row>
    <row r="76" spans="1:15">
      <c r="A76" t="s">
        <v>223</v>
      </c>
      <c r="B76" t="s">
        <v>414</v>
      </c>
      <c r="C76" t="s">
        <v>189</v>
      </c>
      <c r="D76" t="s">
        <v>19</v>
      </c>
      <c r="E76" s="1" t="s">
        <v>423</v>
      </c>
      <c r="F76" s="1">
        <v>28.5</v>
      </c>
      <c r="G76" t="s">
        <v>20</v>
      </c>
      <c r="H76" t="s">
        <v>225</v>
      </c>
      <c r="I76" s="2">
        <v>45703</v>
      </c>
      <c r="J76" s="2">
        <v>45703</v>
      </c>
      <c r="K76">
        <v>15</v>
      </c>
      <c r="L76">
        <v>2</v>
      </c>
      <c r="M76">
        <v>2025</v>
      </c>
      <c r="N76" s="1" t="s">
        <v>427</v>
      </c>
      <c r="O76">
        <v>5</v>
      </c>
    </row>
    <row r="77" spans="1:15">
      <c r="A77" t="s">
        <v>167</v>
      </c>
      <c r="B77" t="s">
        <v>413</v>
      </c>
      <c r="C77" t="s">
        <v>187</v>
      </c>
      <c r="D77" t="s">
        <v>168</v>
      </c>
      <c r="E77" s="1" t="s">
        <v>423</v>
      </c>
      <c r="F77" s="1">
        <v>77.95</v>
      </c>
      <c r="G77" t="s">
        <v>58</v>
      </c>
      <c r="H77" t="s">
        <v>227</v>
      </c>
      <c r="I77" s="2">
        <v>45704</v>
      </c>
      <c r="J77" s="2">
        <v>45705</v>
      </c>
      <c r="K77">
        <v>16</v>
      </c>
      <c r="L77">
        <v>2</v>
      </c>
      <c r="M77">
        <v>2025</v>
      </c>
      <c r="N77" s="1" t="s">
        <v>427</v>
      </c>
      <c r="O77">
        <v>0</v>
      </c>
    </row>
    <row r="78" spans="1:15">
      <c r="A78" t="s">
        <v>228</v>
      </c>
      <c r="B78" t="s">
        <v>413</v>
      </c>
      <c r="C78" t="s">
        <v>180</v>
      </c>
      <c r="D78" t="s">
        <v>23</v>
      </c>
      <c r="E78" s="1" t="s">
        <v>423</v>
      </c>
      <c r="F78" s="1">
        <v>27</v>
      </c>
      <c r="G78" t="s">
        <v>95</v>
      </c>
      <c r="H78" t="s">
        <v>230</v>
      </c>
      <c r="I78" s="2">
        <v>45704</v>
      </c>
      <c r="J78" s="2">
        <v>45706</v>
      </c>
      <c r="K78">
        <v>16</v>
      </c>
      <c r="L78">
        <v>2</v>
      </c>
      <c r="M78">
        <v>2025</v>
      </c>
      <c r="N78" s="1" t="s">
        <v>427</v>
      </c>
      <c r="O78">
        <v>1</v>
      </c>
    </row>
    <row r="79" spans="1:15">
      <c r="A79" t="s">
        <v>114</v>
      </c>
      <c r="B79" t="s">
        <v>413</v>
      </c>
      <c r="C79" t="s">
        <v>10</v>
      </c>
      <c r="D79" t="s">
        <v>145</v>
      </c>
      <c r="E79" s="1" t="s">
        <v>423</v>
      </c>
      <c r="F79" s="1">
        <v>16.57</v>
      </c>
      <c r="G79" t="s">
        <v>58</v>
      </c>
      <c r="H79" t="s">
        <v>231</v>
      </c>
      <c r="I79" s="2">
        <v>45705</v>
      </c>
      <c r="J79" s="2">
        <v>45706</v>
      </c>
      <c r="K79">
        <v>17</v>
      </c>
      <c r="L79">
        <v>2</v>
      </c>
      <c r="M79">
        <v>2025</v>
      </c>
      <c r="N79" s="1" t="s">
        <v>427</v>
      </c>
      <c r="O79">
        <v>1</v>
      </c>
    </row>
    <row r="80" spans="1:15">
      <c r="A80" t="s">
        <v>232</v>
      </c>
      <c r="B80" t="s">
        <v>415</v>
      </c>
      <c r="C80" t="s">
        <v>102</v>
      </c>
      <c r="D80" t="s">
        <v>159</v>
      </c>
      <c r="E80" s="1" t="s">
        <v>423</v>
      </c>
      <c r="F80" s="1">
        <v>123.5</v>
      </c>
      <c r="G80" t="s">
        <v>20</v>
      </c>
      <c r="H80" t="s">
        <v>233</v>
      </c>
      <c r="I80" s="2">
        <v>45705</v>
      </c>
      <c r="J80" s="2">
        <v>45706</v>
      </c>
      <c r="K80">
        <v>17</v>
      </c>
      <c r="L80">
        <v>2</v>
      </c>
      <c r="M80">
        <v>2025</v>
      </c>
      <c r="N80" s="1" t="s">
        <v>427</v>
      </c>
      <c r="O80">
        <v>1</v>
      </c>
    </row>
    <row r="81" spans="1:15">
      <c r="A81" t="s">
        <v>236</v>
      </c>
      <c r="B81" t="s">
        <v>413</v>
      </c>
      <c r="D81" t="s">
        <v>237</v>
      </c>
      <c r="E81" s="1" t="s">
        <v>423</v>
      </c>
      <c r="F81" s="1">
        <v>90.99</v>
      </c>
      <c r="G81" t="s">
        <v>58</v>
      </c>
      <c r="I81" s="2">
        <v>45707</v>
      </c>
      <c r="J81" s="2">
        <v>45707</v>
      </c>
      <c r="K81">
        <v>19</v>
      </c>
      <c r="L81">
        <v>2</v>
      </c>
      <c r="M81">
        <v>2025</v>
      </c>
      <c r="N81" s="1" t="s">
        <v>427</v>
      </c>
      <c r="O81">
        <v>2</v>
      </c>
    </row>
    <row r="82" spans="1:15">
      <c r="A82" t="s">
        <v>29</v>
      </c>
      <c r="B82" t="s">
        <v>413</v>
      </c>
      <c r="D82" t="s">
        <v>238</v>
      </c>
      <c r="E82" s="1" t="s">
        <v>422</v>
      </c>
      <c r="F82" s="1">
        <v>9.9499999999999993</v>
      </c>
      <c r="G82" t="s">
        <v>12</v>
      </c>
      <c r="I82" s="2">
        <v>45707</v>
      </c>
      <c r="J82" s="2">
        <v>45707</v>
      </c>
      <c r="K82">
        <v>19</v>
      </c>
      <c r="L82">
        <v>2</v>
      </c>
      <c r="M82">
        <v>2025</v>
      </c>
      <c r="N82" s="1" t="s">
        <v>427</v>
      </c>
      <c r="O82">
        <v>2</v>
      </c>
    </row>
    <row r="83" spans="1:15">
      <c r="A83" t="s">
        <v>239</v>
      </c>
      <c r="B83" t="s">
        <v>269</v>
      </c>
      <c r="C83" t="s">
        <v>126</v>
      </c>
      <c r="D83" t="s">
        <v>240</v>
      </c>
      <c r="E83" s="1" t="s">
        <v>423</v>
      </c>
      <c r="F83" s="1">
        <v>50</v>
      </c>
      <c r="G83" t="s">
        <v>58</v>
      </c>
      <c r="I83" s="2">
        <v>45707</v>
      </c>
      <c r="J83" s="2">
        <v>45708</v>
      </c>
      <c r="K83">
        <v>19</v>
      </c>
      <c r="L83">
        <v>2</v>
      </c>
      <c r="M83">
        <v>2025</v>
      </c>
      <c r="N83" s="1" t="s">
        <v>427</v>
      </c>
      <c r="O83">
        <v>3</v>
      </c>
    </row>
    <row r="84" spans="1:15">
      <c r="A84" t="s">
        <v>131</v>
      </c>
      <c r="B84" t="s">
        <v>413</v>
      </c>
      <c r="C84" t="s">
        <v>70</v>
      </c>
      <c r="D84" t="s">
        <v>132</v>
      </c>
      <c r="E84" s="1" t="s">
        <v>423</v>
      </c>
      <c r="F84" s="1">
        <v>71</v>
      </c>
      <c r="G84" t="s">
        <v>58</v>
      </c>
      <c r="I84" s="2">
        <v>45707</v>
      </c>
      <c r="J84" s="2">
        <v>45708</v>
      </c>
      <c r="K84">
        <v>19</v>
      </c>
      <c r="L84">
        <v>2</v>
      </c>
      <c r="M84">
        <v>2025</v>
      </c>
      <c r="N84" s="1" t="s">
        <v>427</v>
      </c>
      <c r="O84">
        <v>3</v>
      </c>
    </row>
    <row r="85" spans="1:15">
      <c r="B85" t="s">
        <v>413</v>
      </c>
      <c r="C85" t="s">
        <v>187</v>
      </c>
      <c r="D85" t="s">
        <v>184</v>
      </c>
      <c r="E85" s="1" t="s">
        <v>423</v>
      </c>
      <c r="F85" s="1">
        <v>143.94999999999999</v>
      </c>
      <c r="G85" t="s">
        <v>12</v>
      </c>
      <c r="H85" t="s">
        <v>241</v>
      </c>
      <c r="I85" s="2">
        <v>45709</v>
      </c>
      <c r="J85" s="2">
        <v>45710</v>
      </c>
      <c r="K85">
        <v>21</v>
      </c>
      <c r="L85">
        <v>2</v>
      </c>
      <c r="M85">
        <v>2025</v>
      </c>
      <c r="N85" s="1" t="s">
        <v>427</v>
      </c>
      <c r="O85">
        <v>5</v>
      </c>
    </row>
    <row r="86" spans="1:15">
      <c r="B86" t="s">
        <v>218</v>
      </c>
      <c r="C86" t="s">
        <v>192</v>
      </c>
      <c r="D86" t="s">
        <v>235</v>
      </c>
      <c r="E86" s="1"/>
      <c r="F86" s="1">
        <v>14.5</v>
      </c>
      <c r="G86" t="s">
        <v>12</v>
      </c>
      <c r="I86" s="2">
        <v>45709</v>
      </c>
      <c r="J86" s="2">
        <v>45710</v>
      </c>
      <c r="K86">
        <v>21</v>
      </c>
      <c r="L86">
        <v>2</v>
      </c>
      <c r="M86">
        <v>2025</v>
      </c>
      <c r="N86" s="1" t="s">
        <v>427</v>
      </c>
      <c r="O86">
        <v>5</v>
      </c>
    </row>
    <row r="87" spans="1:15">
      <c r="A87" t="s">
        <v>50</v>
      </c>
      <c r="B87" t="s">
        <v>413</v>
      </c>
      <c r="C87" t="s">
        <v>180</v>
      </c>
      <c r="D87" t="s">
        <v>242</v>
      </c>
      <c r="E87" s="1" t="s">
        <v>423</v>
      </c>
      <c r="F87" s="1">
        <v>23.61</v>
      </c>
      <c r="G87" t="s">
        <v>20</v>
      </c>
      <c r="H87" t="s">
        <v>243</v>
      </c>
      <c r="I87" s="2">
        <v>45710</v>
      </c>
      <c r="J87" s="2">
        <v>45710</v>
      </c>
      <c r="K87">
        <v>22</v>
      </c>
      <c r="L87">
        <v>2</v>
      </c>
      <c r="M87">
        <v>2025</v>
      </c>
      <c r="N87" s="1" t="s">
        <v>427</v>
      </c>
      <c r="O87">
        <v>5</v>
      </c>
    </row>
    <row r="88" spans="1:15">
      <c r="B88" t="s">
        <v>418</v>
      </c>
      <c r="D88" t="s">
        <v>245</v>
      </c>
      <c r="E88" s="1" t="s">
        <v>422</v>
      </c>
      <c r="F88" s="1">
        <v>72.5</v>
      </c>
      <c r="G88" t="s">
        <v>20</v>
      </c>
      <c r="I88" s="2">
        <v>45710</v>
      </c>
      <c r="J88" s="2">
        <v>45710</v>
      </c>
      <c r="K88">
        <v>22</v>
      </c>
      <c r="L88">
        <v>2</v>
      </c>
      <c r="M88">
        <v>2025</v>
      </c>
      <c r="N88" s="1" t="s">
        <v>427</v>
      </c>
      <c r="O88">
        <v>5</v>
      </c>
    </row>
    <row r="89" spans="1:15">
      <c r="A89" t="s">
        <v>131</v>
      </c>
      <c r="B89" t="s">
        <v>413</v>
      </c>
      <c r="C89" t="s">
        <v>43</v>
      </c>
      <c r="D89" t="s">
        <v>132</v>
      </c>
      <c r="E89" s="1" t="s">
        <v>422</v>
      </c>
      <c r="F89" s="1">
        <v>49.89</v>
      </c>
      <c r="G89" t="s">
        <v>16</v>
      </c>
      <c r="I89" s="2">
        <v>45710</v>
      </c>
      <c r="J89" s="2">
        <v>45710</v>
      </c>
      <c r="K89">
        <v>22</v>
      </c>
      <c r="L89">
        <v>2</v>
      </c>
      <c r="M89">
        <v>2025</v>
      </c>
      <c r="N89" s="1" t="s">
        <v>427</v>
      </c>
      <c r="O89">
        <v>5</v>
      </c>
    </row>
    <row r="90" spans="1:15">
      <c r="A90" t="s">
        <v>29</v>
      </c>
      <c r="B90" t="s">
        <v>413</v>
      </c>
      <c r="C90" t="s">
        <v>10</v>
      </c>
      <c r="D90" t="s">
        <v>31</v>
      </c>
      <c r="E90" s="1" t="s">
        <v>422</v>
      </c>
      <c r="F90" s="1">
        <v>8.9499999999999993</v>
      </c>
      <c r="G90" t="s">
        <v>16</v>
      </c>
      <c r="I90" s="2">
        <v>45710</v>
      </c>
      <c r="J90" s="2">
        <v>45712</v>
      </c>
      <c r="K90">
        <v>22</v>
      </c>
      <c r="L90">
        <v>2</v>
      </c>
      <c r="M90">
        <v>2025</v>
      </c>
      <c r="N90" s="1" t="s">
        <v>427</v>
      </c>
      <c r="O90">
        <v>0</v>
      </c>
    </row>
    <row r="91" spans="1:15">
      <c r="A91" t="s">
        <v>181</v>
      </c>
      <c r="B91" t="s">
        <v>218</v>
      </c>
      <c r="C91" t="s">
        <v>192</v>
      </c>
      <c r="D91" t="s">
        <v>181</v>
      </c>
      <c r="E91" s="1" t="s">
        <v>423</v>
      </c>
      <c r="F91" s="1">
        <v>13.95</v>
      </c>
      <c r="G91" t="s">
        <v>20</v>
      </c>
      <c r="H91" t="s">
        <v>246</v>
      </c>
      <c r="I91" s="2">
        <v>45711</v>
      </c>
      <c r="J91" s="2">
        <v>45711</v>
      </c>
      <c r="K91">
        <v>23</v>
      </c>
      <c r="L91">
        <v>2</v>
      </c>
      <c r="M91">
        <v>2025</v>
      </c>
      <c r="N91" s="1" t="s">
        <v>427</v>
      </c>
      <c r="O91">
        <v>6</v>
      </c>
    </row>
    <row r="92" spans="1:15">
      <c r="A92" t="s">
        <v>247</v>
      </c>
      <c r="B92" t="s">
        <v>415</v>
      </c>
      <c r="C92" t="s">
        <v>141</v>
      </c>
      <c r="D92" t="s">
        <v>248</v>
      </c>
      <c r="E92" s="1" t="s">
        <v>422</v>
      </c>
      <c r="F92" s="1">
        <v>277.5</v>
      </c>
      <c r="G92" t="s">
        <v>58</v>
      </c>
      <c r="H92" t="s">
        <v>249</v>
      </c>
      <c r="I92" s="2">
        <v>45713</v>
      </c>
      <c r="J92" s="2">
        <v>45713</v>
      </c>
      <c r="K92">
        <v>25</v>
      </c>
      <c r="L92">
        <v>2</v>
      </c>
      <c r="M92">
        <v>2025</v>
      </c>
      <c r="N92" s="1" t="s">
        <v>427</v>
      </c>
      <c r="O92">
        <v>1</v>
      </c>
    </row>
    <row r="93" spans="1:15">
      <c r="A93" t="s">
        <v>214</v>
      </c>
      <c r="B93" t="s">
        <v>46</v>
      </c>
      <c r="C93" t="s">
        <v>215</v>
      </c>
      <c r="D93" s="5" t="s">
        <v>214</v>
      </c>
      <c r="E93" s="1" t="s">
        <v>422</v>
      </c>
      <c r="F93" s="1">
        <v>124</v>
      </c>
      <c r="G93" t="s">
        <v>16</v>
      </c>
      <c r="H93" t="s">
        <v>250</v>
      </c>
      <c r="I93" s="2">
        <v>45713</v>
      </c>
      <c r="J93" s="2">
        <v>45714</v>
      </c>
      <c r="K93">
        <v>25</v>
      </c>
      <c r="L93">
        <v>2</v>
      </c>
      <c r="M93">
        <v>2025</v>
      </c>
      <c r="N93" s="1" t="s">
        <v>427</v>
      </c>
      <c r="O93">
        <v>2</v>
      </c>
    </row>
    <row r="94" spans="1:15">
      <c r="A94" t="s">
        <v>222</v>
      </c>
      <c r="B94" t="s">
        <v>269</v>
      </c>
      <c r="C94" t="s">
        <v>93</v>
      </c>
      <c r="D94" t="s">
        <v>251</v>
      </c>
      <c r="E94" s="1" t="s">
        <v>422</v>
      </c>
      <c r="F94" s="1">
        <v>113</v>
      </c>
      <c r="G94" t="s">
        <v>16</v>
      </c>
      <c r="I94" s="2">
        <v>45713</v>
      </c>
      <c r="J94" s="2">
        <v>45714</v>
      </c>
      <c r="K94">
        <v>25</v>
      </c>
      <c r="L94">
        <v>2</v>
      </c>
      <c r="M94">
        <v>2025</v>
      </c>
      <c r="N94" s="1" t="s">
        <v>427</v>
      </c>
      <c r="O94">
        <v>2</v>
      </c>
    </row>
    <row r="95" spans="1:15">
      <c r="B95" t="s">
        <v>413</v>
      </c>
      <c r="C95" t="s">
        <v>82</v>
      </c>
      <c r="D95" t="s">
        <v>213</v>
      </c>
      <c r="E95" s="1" t="s">
        <v>423</v>
      </c>
      <c r="F95" s="1">
        <v>72.599999999999994</v>
      </c>
      <c r="G95" t="s">
        <v>20</v>
      </c>
      <c r="H95" t="s">
        <v>252</v>
      </c>
      <c r="I95" s="2">
        <v>45713</v>
      </c>
      <c r="J95" s="2">
        <v>45714</v>
      </c>
      <c r="K95">
        <v>25</v>
      </c>
      <c r="L95">
        <v>2</v>
      </c>
      <c r="M95">
        <v>2025</v>
      </c>
      <c r="N95" s="1" t="s">
        <v>427</v>
      </c>
      <c r="O95">
        <v>2</v>
      </c>
    </row>
    <row r="96" spans="1:15">
      <c r="A96" t="s">
        <v>253</v>
      </c>
      <c r="B96" t="s">
        <v>415</v>
      </c>
      <c r="C96" t="s">
        <v>141</v>
      </c>
      <c r="D96" t="s">
        <v>254</v>
      </c>
      <c r="E96" s="1" t="s">
        <v>422</v>
      </c>
      <c r="F96" s="1">
        <v>255</v>
      </c>
      <c r="G96" t="s">
        <v>20</v>
      </c>
      <c r="I96" s="2">
        <v>45715</v>
      </c>
      <c r="J96" s="2">
        <v>45715</v>
      </c>
      <c r="K96">
        <v>27</v>
      </c>
      <c r="L96">
        <v>2</v>
      </c>
      <c r="M96">
        <v>2025</v>
      </c>
      <c r="N96" s="1" t="s">
        <v>427</v>
      </c>
      <c r="O96">
        <v>3</v>
      </c>
    </row>
    <row r="97" spans="1:15">
      <c r="A97" t="s">
        <v>255</v>
      </c>
      <c r="B97" t="s">
        <v>218</v>
      </c>
      <c r="C97" t="s">
        <v>192</v>
      </c>
      <c r="D97" t="s">
        <v>256</v>
      </c>
      <c r="E97" s="1" t="s">
        <v>422</v>
      </c>
      <c r="F97" s="1">
        <v>64</v>
      </c>
      <c r="G97" t="s">
        <v>16</v>
      </c>
      <c r="H97" t="s">
        <v>257</v>
      </c>
      <c r="I97" s="2">
        <v>45715</v>
      </c>
      <c r="J97" s="2">
        <v>45716</v>
      </c>
      <c r="K97">
        <v>27</v>
      </c>
      <c r="L97">
        <v>2</v>
      </c>
      <c r="M97">
        <v>2025</v>
      </c>
      <c r="N97" s="1" t="s">
        <v>427</v>
      </c>
      <c r="O97">
        <v>4</v>
      </c>
    </row>
    <row r="98" spans="1:15">
      <c r="A98" t="s">
        <v>258</v>
      </c>
      <c r="B98" t="s">
        <v>416</v>
      </c>
      <c r="C98" t="s">
        <v>98</v>
      </c>
      <c r="D98" t="s">
        <v>259</v>
      </c>
      <c r="E98" s="1" t="s">
        <v>422</v>
      </c>
      <c r="F98" s="1">
        <v>87</v>
      </c>
      <c r="G98" t="s">
        <v>95</v>
      </c>
      <c r="I98" s="2">
        <v>45715</v>
      </c>
      <c r="J98" s="2">
        <v>45717</v>
      </c>
      <c r="K98">
        <v>27</v>
      </c>
      <c r="L98">
        <v>2</v>
      </c>
      <c r="M98">
        <v>2025</v>
      </c>
      <c r="N98" s="1" t="s">
        <v>427</v>
      </c>
      <c r="O98">
        <v>5</v>
      </c>
    </row>
    <row r="99" spans="1:15">
      <c r="A99" t="s">
        <v>156</v>
      </c>
      <c r="B99" t="s">
        <v>413</v>
      </c>
      <c r="C99" t="s">
        <v>60</v>
      </c>
      <c r="D99" t="s">
        <v>157</v>
      </c>
      <c r="E99" s="1" t="s">
        <v>423</v>
      </c>
      <c r="F99" s="1">
        <v>14.49</v>
      </c>
      <c r="G99" t="s">
        <v>95</v>
      </c>
      <c r="H99" t="s">
        <v>260</v>
      </c>
      <c r="I99" s="2">
        <v>45715</v>
      </c>
      <c r="J99" s="2">
        <v>45715</v>
      </c>
      <c r="K99">
        <v>27</v>
      </c>
      <c r="L99">
        <v>2</v>
      </c>
      <c r="M99">
        <v>2025</v>
      </c>
      <c r="N99" s="1" t="s">
        <v>427</v>
      </c>
      <c r="O99">
        <v>3</v>
      </c>
    </row>
    <row r="100" spans="1:15">
      <c r="A100" t="s">
        <v>261</v>
      </c>
      <c r="B100" t="s">
        <v>414</v>
      </c>
      <c r="D100" t="s">
        <v>262</v>
      </c>
      <c r="E100" s="1" t="s">
        <v>423</v>
      </c>
      <c r="F100" s="1">
        <v>177.95</v>
      </c>
      <c r="G100" t="s">
        <v>16</v>
      </c>
      <c r="I100" s="2">
        <v>45715</v>
      </c>
      <c r="J100" s="2">
        <v>45717</v>
      </c>
      <c r="K100">
        <v>27</v>
      </c>
      <c r="L100">
        <v>2</v>
      </c>
      <c r="M100">
        <v>2025</v>
      </c>
      <c r="N100" s="1" t="s">
        <v>427</v>
      </c>
      <c r="O100">
        <v>5</v>
      </c>
    </row>
    <row r="101" spans="1:15">
      <c r="A101" t="s">
        <v>74</v>
      </c>
      <c r="B101" t="s">
        <v>218</v>
      </c>
      <c r="C101" t="s">
        <v>192</v>
      </c>
      <c r="D101" t="s">
        <v>263</v>
      </c>
      <c r="E101" s="1" t="s">
        <v>423</v>
      </c>
      <c r="F101" s="1">
        <v>86.69</v>
      </c>
      <c r="G101" t="s">
        <v>95</v>
      </c>
      <c r="H101" t="s">
        <v>264</v>
      </c>
      <c r="I101" s="2">
        <v>45716</v>
      </c>
      <c r="J101" s="2">
        <v>45717</v>
      </c>
      <c r="K101">
        <v>28</v>
      </c>
      <c r="L101">
        <v>2</v>
      </c>
      <c r="M101">
        <v>2025</v>
      </c>
      <c r="N101" s="1" t="s">
        <v>427</v>
      </c>
      <c r="O101">
        <v>5</v>
      </c>
    </row>
    <row r="102" spans="1:15">
      <c r="B102" t="s">
        <v>413</v>
      </c>
      <c r="C102" t="s">
        <v>22</v>
      </c>
      <c r="D102" t="s">
        <v>226</v>
      </c>
      <c r="E102" s="1" t="s">
        <v>422</v>
      </c>
      <c r="F102" s="1">
        <v>88.65</v>
      </c>
      <c r="G102" t="s">
        <v>58</v>
      </c>
      <c r="H102" t="s">
        <v>265</v>
      </c>
      <c r="I102" s="2">
        <v>45716</v>
      </c>
      <c r="J102" s="2">
        <v>45716</v>
      </c>
      <c r="K102">
        <v>28</v>
      </c>
      <c r="L102">
        <v>2</v>
      </c>
      <c r="M102">
        <v>2025</v>
      </c>
      <c r="N102" s="1" t="s">
        <v>427</v>
      </c>
      <c r="O102">
        <v>4</v>
      </c>
    </row>
    <row r="103" spans="1:15">
      <c r="A103" t="s">
        <v>266</v>
      </c>
      <c r="B103" t="s">
        <v>413</v>
      </c>
      <c r="C103" t="s">
        <v>22</v>
      </c>
      <c r="D103" t="s">
        <v>72</v>
      </c>
      <c r="E103" s="1" t="s">
        <v>422</v>
      </c>
      <c r="F103" s="1">
        <v>47.49</v>
      </c>
      <c r="G103" t="s">
        <v>20</v>
      </c>
      <c r="H103" t="s">
        <v>267</v>
      </c>
      <c r="I103" s="2">
        <v>45658</v>
      </c>
      <c r="J103" s="2">
        <v>45659</v>
      </c>
      <c r="K103">
        <v>1</v>
      </c>
      <c r="L103">
        <v>1</v>
      </c>
      <c r="M103">
        <v>2025</v>
      </c>
      <c r="N103" s="1" t="s">
        <v>428</v>
      </c>
      <c r="O103">
        <v>3</v>
      </c>
    </row>
    <row r="104" spans="1:15">
      <c r="A104" t="s">
        <v>104</v>
      </c>
      <c r="B104" t="s">
        <v>414</v>
      </c>
      <c r="D104" t="s">
        <v>270</v>
      </c>
      <c r="E104" s="1" t="s">
        <v>422</v>
      </c>
      <c r="F104" s="1">
        <v>128.5</v>
      </c>
      <c r="G104" t="s">
        <v>12</v>
      </c>
      <c r="I104" s="2">
        <v>45659</v>
      </c>
      <c r="J104" s="2">
        <v>45661</v>
      </c>
      <c r="K104">
        <v>2</v>
      </c>
      <c r="L104">
        <v>1</v>
      </c>
      <c r="M104">
        <v>2025</v>
      </c>
      <c r="N104" s="1" t="s">
        <v>428</v>
      </c>
      <c r="O104">
        <v>5</v>
      </c>
    </row>
    <row r="105" spans="1:15">
      <c r="A105" t="s">
        <v>268</v>
      </c>
      <c r="B105" t="s">
        <v>269</v>
      </c>
      <c r="D105" t="s">
        <v>268</v>
      </c>
      <c r="E105" s="1" t="s">
        <v>422</v>
      </c>
      <c r="F105" s="1">
        <v>179</v>
      </c>
      <c r="G105" t="s">
        <v>20</v>
      </c>
      <c r="I105" s="2">
        <v>45660</v>
      </c>
      <c r="J105" s="2">
        <v>45662</v>
      </c>
      <c r="K105">
        <v>3</v>
      </c>
      <c r="L105">
        <v>1</v>
      </c>
      <c r="M105">
        <v>2025</v>
      </c>
      <c r="N105" s="1" t="s">
        <v>428</v>
      </c>
      <c r="O105">
        <v>6</v>
      </c>
    </row>
    <row r="106" spans="1:15">
      <c r="B106" t="s">
        <v>218</v>
      </c>
      <c r="C106" t="s">
        <v>35</v>
      </c>
      <c r="D106" t="s">
        <v>182</v>
      </c>
      <c r="E106" s="1" t="s">
        <v>423</v>
      </c>
      <c r="F106" s="1">
        <v>63.95</v>
      </c>
      <c r="G106" t="s">
        <v>20</v>
      </c>
      <c r="H106" t="s">
        <v>271</v>
      </c>
      <c r="I106" s="2">
        <v>45660</v>
      </c>
      <c r="J106" s="2">
        <v>45660</v>
      </c>
      <c r="K106">
        <v>3</v>
      </c>
      <c r="L106">
        <v>1</v>
      </c>
      <c r="M106">
        <v>2025</v>
      </c>
      <c r="N106" s="1" t="s">
        <v>428</v>
      </c>
      <c r="O106">
        <v>4</v>
      </c>
    </row>
    <row r="107" spans="1:15">
      <c r="A107" t="s">
        <v>272</v>
      </c>
      <c r="B107" t="s">
        <v>415</v>
      </c>
      <c r="C107" t="s">
        <v>199</v>
      </c>
      <c r="D107" t="s">
        <v>273</v>
      </c>
      <c r="E107" s="1" t="s">
        <v>423</v>
      </c>
      <c r="F107" s="1">
        <v>80</v>
      </c>
      <c r="G107" t="s">
        <v>12</v>
      </c>
      <c r="H107" t="s">
        <v>274</v>
      </c>
      <c r="I107" s="2">
        <v>45661</v>
      </c>
      <c r="J107" s="2">
        <v>45662</v>
      </c>
      <c r="K107">
        <v>4</v>
      </c>
      <c r="L107">
        <v>1</v>
      </c>
      <c r="M107">
        <v>2025</v>
      </c>
      <c r="N107" s="1" t="s">
        <v>428</v>
      </c>
      <c r="O107">
        <v>6</v>
      </c>
    </row>
    <row r="108" spans="1:15">
      <c r="B108" t="s">
        <v>413</v>
      </c>
      <c r="D108" t="s">
        <v>275</v>
      </c>
      <c r="E108" s="1" t="s">
        <v>422</v>
      </c>
      <c r="F108" s="1">
        <v>124</v>
      </c>
      <c r="G108" t="s">
        <v>20</v>
      </c>
      <c r="H108" t="s">
        <v>276</v>
      </c>
      <c r="I108" s="2">
        <v>45662</v>
      </c>
      <c r="J108" s="2">
        <v>45662</v>
      </c>
      <c r="K108">
        <v>5</v>
      </c>
      <c r="L108">
        <v>1</v>
      </c>
      <c r="M108">
        <v>2025</v>
      </c>
      <c r="N108" s="1" t="s">
        <v>428</v>
      </c>
      <c r="O108">
        <v>6</v>
      </c>
    </row>
    <row r="109" spans="1:15">
      <c r="A109" t="s">
        <v>45</v>
      </c>
      <c r="B109" t="s">
        <v>46</v>
      </c>
      <c r="C109" t="s">
        <v>98</v>
      </c>
      <c r="D109" t="s">
        <v>277</v>
      </c>
      <c r="E109" s="1" t="s">
        <v>422</v>
      </c>
      <c r="F109" s="1">
        <v>80</v>
      </c>
      <c r="G109" t="s">
        <v>20</v>
      </c>
      <c r="I109" s="2">
        <v>45664</v>
      </c>
      <c r="J109" s="2">
        <v>45665</v>
      </c>
      <c r="K109">
        <v>7</v>
      </c>
      <c r="L109">
        <v>1</v>
      </c>
      <c r="M109">
        <v>2025</v>
      </c>
      <c r="N109" s="1" t="s">
        <v>428</v>
      </c>
      <c r="O109">
        <v>2</v>
      </c>
    </row>
    <row r="110" spans="1:15">
      <c r="A110" t="s">
        <v>278</v>
      </c>
      <c r="B110" t="s">
        <v>269</v>
      </c>
      <c r="C110" t="s">
        <v>93</v>
      </c>
      <c r="D110" t="s">
        <v>279</v>
      </c>
      <c r="E110" s="1" t="s">
        <v>422</v>
      </c>
      <c r="F110" s="1">
        <v>167.5</v>
      </c>
      <c r="G110" t="s">
        <v>95</v>
      </c>
      <c r="H110" t="s">
        <v>280</v>
      </c>
      <c r="I110" s="2">
        <v>45665</v>
      </c>
      <c r="J110" s="2">
        <v>45666</v>
      </c>
      <c r="K110">
        <v>8</v>
      </c>
      <c r="L110">
        <v>1</v>
      </c>
      <c r="M110">
        <v>2025</v>
      </c>
      <c r="N110" s="1" t="s">
        <v>428</v>
      </c>
      <c r="O110">
        <v>3</v>
      </c>
    </row>
    <row r="111" spans="1:15">
      <c r="A111" t="s">
        <v>232</v>
      </c>
      <c r="B111" t="s">
        <v>415</v>
      </c>
      <c r="C111" t="s">
        <v>199</v>
      </c>
      <c r="D111" t="s">
        <v>281</v>
      </c>
      <c r="E111" s="1" t="s">
        <v>422</v>
      </c>
      <c r="F111" s="1">
        <v>279</v>
      </c>
      <c r="G111" t="s">
        <v>58</v>
      </c>
      <c r="H111" t="s">
        <v>282</v>
      </c>
      <c r="I111" s="2">
        <v>45665</v>
      </c>
      <c r="J111" s="2">
        <v>45667</v>
      </c>
      <c r="K111">
        <v>8</v>
      </c>
      <c r="L111">
        <v>1</v>
      </c>
      <c r="M111">
        <v>2025</v>
      </c>
      <c r="N111" s="1" t="s">
        <v>428</v>
      </c>
      <c r="O111">
        <v>4</v>
      </c>
    </row>
    <row r="112" spans="1:15">
      <c r="A112" t="s">
        <v>68</v>
      </c>
      <c r="B112" t="s">
        <v>218</v>
      </c>
      <c r="C112" t="s">
        <v>192</v>
      </c>
      <c r="D112" t="s">
        <v>68</v>
      </c>
      <c r="E112" s="1" t="s">
        <v>422</v>
      </c>
      <c r="F112" s="1">
        <v>35.5</v>
      </c>
      <c r="G112" t="s">
        <v>16</v>
      </c>
      <c r="H112" t="s">
        <v>283</v>
      </c>
      <c r="I112" s="2">
        <v>45665</v>
      </c>
      <c r="J112" s="2">
        <v>45666</v>
      </c>
      <c r="K112">
        <v>8</v>
      </c>
      <c r="L112">
        <v>1</v>
      </c>
      <c r="M112">
        <v>2025</v>
      </c>
      <c r="N112" s="1" t="s">
        <v>428</v>
      </c>
      <c r="O112">
        <v>3</v>
      </c>
    </row>
    <row r="113" spans="1:15">
      <c r="B113" t="s">
        <v>416</v>
      </c>
      <c r="C113" t="s">
        <v>125</v>
      </c>
      <c r="D113" t="s">
        <v>285</v>
      </c>
      <c r="E113" s="1" t="s">
        <v>423</v>
      </c>
      <c r="F113" s="1">
        <v>180</v>
      </c>
      <c r="G113" t="s">
        <v>58</v>
      </c>
      <c r="H113" t="s">
        <v>286</v>
      </c>
      <c r="I113" s="2">
        <v>45665</v>
      </c>
      <c r="J113" s="2">
        <v>45667</v>
      </c>
      <c r="K113">
        <v>8</v>
      </c>
      <c r="L113">
        <v>1</v>
      </c>
      <c r="M113">
        <v>2025</v>
      </c>
      <c r="N113" s="1" t="s">
        <v>428</v>
      </c>
      <c r="O113">
        <v>4</v>
      </c>
    </row>
    <row r="114" spans="1:15">
      <c r="B114" t="s">
        <v>413</v>
      </c>
      <c r="D114" t="s">
        <v>287</v>
      </c>
      <c r="E114" s="1" t="s">
        <v>423</v>
      </c>
      <c r="F114" s="1">
        <v>139</v>
      </c>
      <c r="G114" t="s">
        <v>16</v>
      </c>
      <c r="I114" s="2">
        <v>45666</v>
      </c>
      <c r="J114" s="2">
        <v>45666</v>
      </c>
      <c r="K114">
        <v>9</v>
      </c>
      <c r="L114">
        <v>1</v>
      </c>
      <c r="M114">
        <v>2025</v>
      </c>
      <c r="N114" s="1" t="s">
        <v>428</v>
      </c>
      <c r="O114">
        <v>3</v>
      </c>
    </row>
    <row r="115" spans="1:15">
      <c r="A115" t="s">
        <v>268</v>
      </c>
      <c r="B115" t="s">
        <v>269</v>
      </c>
      <c r="C115" t="s">
        <v>93</v>
      </c>
      <c r="D115" t="s">
        <v>288</v>
      </c>
      <c r="E115" s="1" t="s">
        <v>423</v>
      </c>
      <c r="F115" s="1">
        <v>102</v>
      </c>
      <c r="G115" t="s">
        <v>16</v>
      </c>
      <c r="I115" s="2">
        <v>45666</v>
      </c>
      <c r="J115" s="2">
        <v>45667</v>
      </c>
      <c r="K115">
        <v>9</v>
      </c>
      <c r="L115">
        <v>1</v>
      </c>
      <c r="M115">
        <v>2025</v>
      </c>
      <c r="N115" s="1" t="s">
        <v>428</v>
      </c>
      <c r="O115">
        <v>4</v>
      </c>
    </row>
    <row r="116" spans="1:15">
      <c r="A116" t="s">
        <v>191</v>
      </c>
      <c r="B116" t="s">
        <v>413</v>
      </c>
      <c r="C116" t="s">
        <v>60</v>
      </c>
      <c r="D116" t="s">
        <v>289</v>
      </c>
      <c r="E116" s="1"/>
      <c r="F116" s="1">
        <v>4.95</v>
      </c>
      <c r="G116" t="s">
        <v>58</v>
      </c>
      <c r="H116" t="s">
        <v>290</v>
      </c>
      <c r="I116" s="2">
        <v>45671</v>
      </c>
      <c r="J116" s="2">
        <v>45672</v>
      </c>
      <c r="K116">
        <v>14</v>
      </c>
      <c r="L116">
        <v>1</v>
      </c>
      <c r="M116">
        <v>2025</v>
      </c>
      <c r="N116" s="1" t="s">
        <v>428</v>
      </c>
      <c r="O116">
        <v>2</v>
      </c>
    </row>
    <row r="117" spans="1:15">
      <c r="A117" t="s">
        <v>191</v>
      </c>
      <c r="B117" t="s">
        <v>413</v>
      </c>
      <c r="C117" t="s">
        <v>10</v>
      </c>
      <c r="D117" t="s">
        <v>191</v>
      </c>
      <c r="E117" s="1" t="s">
        <v>422</v>
      </c>
      <c r="F117" s="1">
        <v>10.5</v>
      </c>
      <c r="G117" t="s">
        <v>12</v>
      </c>
      <c r="H117" t="s">
        <v>291</v>
      </c>
      <c r="I117" s="2">
        <v>45671</v>
      </c>
      <c r="J117" s="2">
        <v>45672</v>
      </c>
      <c r="K117">
        <v>14</v>
      </c>
      <c r="L117">
        <v>1</v>
      </c>
      <c r="M117">
        <v>2025</v>
      </c>
      <c r="N117" s="1" t="s">
        <v>428</v>
      </c>
      <c r="O117">
        <v>2</v>
      </c>
    </row>
    <row r="118" spans="1:15">
      <c r="A118" t="s">
        <v>292</v>
      </c>
      <c r="B118" t="s">
        <v>418</v>
      </c>
      <c r="C118" t="s">
        <v>294</v>
      </c>
      <c r="D118" t="s">
        <v>295</v>
      </c>
      <c r="E118" s="1" t="s">
        <v>422</v>
      </c>
      <c r="F118" s="1">
        <v>43</v>
      </c>
      <c r="G118" t="s">
        <v>58</v>
      </c>
      <c r="H118" t="s">
        <v>296</v>
      </c>
      <c r="I118" s="2">
        <v>45672</v>
      </c>
      <c r="J118" s="2">
        <v>45674</v>
      </c>
      <c r="K118">
        <v>15</v>
      </c>
      <c r="L118">
        <v>1</v>
      </c>
      <c r="M118">
        <v>2025</v>
      </c>
      <c r="N118" s="1" t="s">
        <v>428</v>
      </c>
      <c r="O118">
        <v>4</v>
      </c>
    </row>
    <row r="119" spans="1:15">
      <c r="A119" t="s">
        <v>14</v>
      </c>
      <c r="B119" t="s">
        <v>218</v>
      </c>
      <c r="C119" t="s">
        <v>40</v>
      </c>
      <c r="D119" t="s">
        <v>14</v>
      </c>
      <c r="E119" s="1" t="s">
        <v>423</v>
      </c>
      <c r="F119" s="1">
        <v>19.989999999999998</v>
      </c>
      <c r="G119" t="s">
        <v>20</v>
      </c>
      <c r="H119" t="s">
        <v>297</v>
      </c>
      <c r="I119" s="2">
        <v>45674</v>
      </c>
      <c r="J119" s="2">
        <v>45676</v>
      </c>
      <c r="K119">
        <v>17</v>
      </c>
      <c r="L119">
        <v>1</v>
      </c>
      <c r="M119">
        <v>2025</v>
      </c>
      <c r="N119" s="1" t="s">
        <v>428</v>
      </c>
      <c r="O119">
        <v>6</v>
      </c>
    </row>
    <row r="120" spans="1:15">
      <c r="A120" t="s">
        <v>298</v>
      </c>
      <c r="B120" t="s">
        <v>269</v>
      </c>
      <c r="D120" t="s">
        <v>299</v>
      </c>
      <c r="E120" s="1"/>
      <c r="F120" s="1">
        <v>75</v>
      </c>
      <c r="G120" t="s">
        <v>12</v>
      </c>
      <c r="H120" t="s">
        <v>300</v>
      </c>
      <c r="I120" s="2">
        <v>45675</v>
      </c>
      <c r="J120" s="2">
        <v>45675</v>
      </c>
      <c r="K120">
        <v>18</v>
      </c>
      <c r="L120">
        <v>1</v>
      </c>
      <c r="M120">
        <v>2025</v>
      </c>
      <c r="N120" s="1" t="s">
        <v>428</v>
      </c>
      <c r="O120">
        <v>5</v>
      </c>
    </row>
    <row r="121" spans="1:15">
      <c r="A121" t="s">
        <v>258</v>
      </c>
      <c r="B121" t="s">
        <v>46</v>
      </c>
      <c r="C121" t="s">
        <v>47</v>
      </c>
      <c r="D121" t="s">
        <v>259</v>
      </c>
      <c r="E121" s="1"/>
      <c r="F121" s="1">
        <v>206.99</v>
      </c>
      <c r="G121" t="s">
        <v>95</v>
      </c>
      <c r="I121" s="2">
        <v>45675</v>
      </c>
      <c r="J121" s="2">
        <v>45677</v>
      </c>
      <c r="K121">
        <v>18</v>
      </c>
      <c r="L121">
        <v>1</v>
      </c>
      <c r="M121">
        <v>2025</v>
      </c>
      <c r="N121" s="1" t="s">
        <v>428</v>
      </c>
      <c r="O121">
        <v>0</v>
      </c>
    </row>
    <row r="122" spans="1:15">
      <c r="A122" t="s">
        <v>68</v>
      </c>
      <c r="B122" t="s">
        <v>218</v>
      </c>
      <c r="D122" t="s">
        <v>193</v>
      </c>
      <c r="E122" s="1"/>
      <c r="F122" s="1">
        <v>36</v>
      </c>
      <c r="G122" t="s">
        <v>12</v>
      </c>
      <c r="I122" s="2">
        <v>45676</v>
      </c>
      <c r="J122" s="2">
        <v>45676</v>
      </c>
      <c r="K122">
        <v>19</v>
      </c>
      <c r="L122">
        <v>1</v>
      </c>
      <c r="M122">
        <v>2025</v>
      </c>
      <c r="N122" s="1" t="s">
        <v>428</v>
      </c>
      <c r="O122">
        <v>6</v>
      </c>
    </row>
    <row r="123" spans="1:15">
      <c r="A123" t="s">
        <v>302</v>
      </c>
      <c r="B123" t="s">
        <v>269</v>
      </c>
      <c r="C123" t="s">
        <v>126</v>
      </c>
      <c r="D123" t="s">
        <v>302</v>
      </c>
      <c r="E123" s="1" t="s">
        <v>422</v>
      </c>
      <c r="F123" s="1">
        <v>34</v>
      </c>
      <c r="G123" t="s">
        <v>20</v>
      </c>
      <c r="H123" t="s">
        <v>303</v>
      </c>
      <c r="I123" s="2">
        <v>45677</v>
      </c>
      <c r="J123" s="2">
        <v>45679</v>
      </c>
      <c r="K123">
        <v>20</v>
      </c>
      <c r="L123">
        <v>1</v>
      </c>
      <c r="M123">
        <v>2025</v>
      </c>
      <c r="N123" s="1" t="s">
        <v>428</v>
      </c>
      <c r="O123">
        <v>2</v>
      </c>
    </row>
    <row r="124" spans="1:15">
      <c r="A124" t="s">
        <v>278</v>
      </c>
      <c r="B124" t="s">
        <v>269</v>
      </c>
      <c r="C124" t="s">
        <v>210</v>
      </c>
      <c r="D124" t="s">
        <v>304</v>
      </c>
      <c r="E124" s="1" t="s">
        <v>423</v>
      </c>
      <c r="F124" s="1">
        <v>136.5</v>
      </c>
      <c r="G124" t="s">
        <v>95</v>
      </c>
      <c r="I124" s="2">
        <v>45678</v>
      </c>
      <c r="J124" s="2">
        <v>45678</v>
      </c>
      <c r="K124">
        <v>21</v>
      </c>
      <c r="L124">
        <v>1</v>
      </c>
      <c r="M124">
        <v>2025</v>
      </c>
      <c r="N124" s="1" t="s">
        <v>428</v>
      </c>
      <c r="O124">
        <v>1</v>
      </c>
    </row>
    <row r="125" spans="1:15">
      <c r="A125" t="s">
        <v>29</v>
      </c>
      <c r="B125" t="s">
        <v>413</v>
      </c>
      <c r="D125" t="s">
        <v>11</v>
      </c>
      <c r="E125" s="1" t="s">
        <v>423</v>
      </c>
      <c r="F125" s="1">
        <v>12.49</v>
      </c>
      <c r="G125" t="s">
        <v>58</v>
      </c>
      <c r="H125" t="s">
        <v>305</v>
      </c>
      <c r="I125" s="2">
        <v>45679</v>
      </c>
      <c r="J125" s="2">
        <v>45680</v>
      </c>
      <c r="K125">
        <v>22</v>
      </c>
      <c r="L125">
        <v>1</v>
      </c>
      <c r="M125">
        <v>2025</v>
      </c>
      <c r="N125" s="1" t="s">
        <v>428</v>
      </c>
      <c r="O125">
        <v>3</v>
      </c>
    </row>
    <row r="126" spans="1:15">
      <c r="B126" t="s">
        <v>413</v>
      </c>
      <c r="D126" t="s">
        <v>117</v>
      </c>
      <c r="E126" s="1" t="s">
        <v>423</v>
      </c>
      <c r="F126" s="1">
        <v>14.49</v>
      </c>
      <c r="G126" t="s">
        <v>58</v>
      </c>
      <c r="I126" s="2">
        <v>45680</v>
      </c>
      <c r="J126" s="2">
        <v>45680</v>
      </c>
      <c r="K126">
        <v>23</v>
      </c>
      <c r="L126">
        <v>1</v>
      </c>
      <c r="M126">
        <v>2025</v>
      </c>
      <c r="N126" s="1" t="s">
        <v>428</v>
      </c>
      <c r="O126">
        <v>3</v>
      </c>
    </row>
    <row r="127" spans="1:15">
      <c r="A127" t="s">
        <v>62</v>
      </c>
      <c r="B127" t="s">
        <v>413</v>
      </c>
      <c r="C127" t="s">
        <v>60</v>
      </c>
      <c r="D127" t="s">
        <v>62</v>
      </c>
      <c r="E127" s="1" t="s">
        <v>423</v>
      </c>
      <c r="F127" s="1">
        <v>14.95</v>
      </c>
      <c r="G127" t="s">
        <v>95</v>
      </c>
      <c r="H127" t="s">
        <v>308</v>
      </c>
      <c r="I127" s="2">
        <v>45681</v>
      </c>
      <c r="J127" s="2">
        <v>45681</v>
      </c>
      <c r="K127">
        <v>24</v>
      </c>
      <c r="L127">
        <v>1</v>
      </c>
      <c r="M127">
        <v>2025</v>
      </c>
      <c r="N127" s="1" t="s">
        <v>428</v>
      </c>
      <c r="O127">
        <v>4</v>
      </c>
    </row>
    <row r="128" spans="1:15">
      <c r="A128" t="s">
        <v>214</v>
      </c>
      <c r="B128" t="s">
        <v>416</v>
      </c>
      <c r="C128" t="s">
        <v>125</v>
      </c>
      <c r="D128" t="s">
        <v>309</v>
      </c>
      <c r="E128" s="1" t="s">
        <v>423</v>
      </c>
      <c r="F128" s="1">
        <v>145.25</v>
      </c>
      <c r="G128" t="s">
        <v>95</v>
      </c>
      <c r="I128" s="2">
        <v>45681</v>
      </c>
      <c r="J128" s="2">
        <v>45683</v>
      </c>
      <c r="K128">
        <v>24</v>
      </c>
      <c r="L128">
        <v>1</v>
      </c>
      <c r="M128">
        <v>2025</v>
      </c>
      <c r="N128" s="1" t="s">
        <v>428</v>
      </c>
      <c r="O128">
        <v>6</v>
      </c>
    </row>
    <row r="129" spans="1:15">
      <c r="B129" t="s">
        <v>417</v>
      </c>
      <c r="C129" t="s">
        <v>311</v>
      </c>
      <c r="D129" t="s">
        <v>312</v>
      </c>
      <c r="E129" s="1" t="s">
        <v>422</v>
      </c>
      <c r="F129" s="1">
        <v>315.5</v>
      </c>
      <c r="G129" t="s">
        <v>58</v>
      </c>
      <c r="I129" s="2">
        <v>45681</v>
      </c>
      <c r="J129" s="2">
        <v>45682</v>
      </c>
      <c r="K129">
        <v>24</v>
      </c>
      <c r="L129">
        <v>1</v>
      </c>
      <c r="M129">
        <v>2025</v>
      </c>
      <c r="N129" s="1" t="s">
        <v>428</v>
      </c>
      <c r="O129">
        <v>5</v>
      </c>
    </row>
    <row r="130" spans="1:15">
      <c r="A130" t="s">
        <v>68</v>
      </c>
      <c r="B130" t="s">
        <v>218</v>
      </c>
      <c r="C130" t="s">
        <v>35</v>
      </c>
      <c r="D130" t="s">
        <v>313</v>
      </c>
      <c r="E130" s="1" t="s">
        <v>423</v>
      </c>
      <c r="F130" s="1">
        <v>46</v>
      </c>
      <c r="G130" t="s">
        <v>20</v>
      </c>
      <c r="H130" t="s">
        <v>314</v>
      </c>
      <c r="I130" s="2">
        <v>45682</v>
      </c>
      <c r="J130" s="2">
        <v>45683</v>
      </c>
      <c r="K130">
        <v>25</v>
      </c>
      <c r="L130">
        <v>1</v>
      </c>
      <c r="M130">
        <v>2025</v>
      </c>
      <c r="N130" s="1" t="s">
        <v>428</v>
      </c>
      <c r="O130">
        <v>6</v>
      </c>
    </row>
    <row r="131" spans="1:15">
      <c r="B131" t="s">
        <v>414</v>
      </c>
      <c r="C131" t="s">
        <v>178</v>
      </c>
      <c r="D131" t="s">
        <v>315</v>
      </c>
      <c r="E131" s="1" t="s">
        <v>422</v>
      </c>
      <c r="F131" s="1">
        <v>372</v>
      </c>
      <c r="G131" t="s">
        <v>20</v>
      </c>
      <c r="H131" t="s">
        <v>316</v>
      </c>
      <c r="I131" s="2">
        <v>45683</v>
      </c>
      <c r="J131" s="2">
        <v>45685</v>
      </c>
      <c r="K131">
        <v>26</v>
      </c>
      <c r="L131">
        <v>1</v>
      </c>
      <c r="M131">
        <v>2025</v>
      </c>
      <c r="N131" s="1" t="s">
        <v>428</v>
      </c>
      <c r="O131">
        <v>1</v>
      </c>
    </row>
    <row r="132" spans="1:15">
      <c r="A132" t="s">
        <v>317</v>
      </c>
      <c r="B132" t="s">
        <v>218</v>
      </c>
      <c r="C132" t="s">
        <v>35</v>
      </c>
      <c r="D132" t="s">
        <v>318</v>
      </c>
      <c r="E132" s="1" t="s">
        <v>423</v>
      </c>
      <c r="F132" s="1">
        <v>89</v>
      </c>
      <c r="G132" t="s">
        <v>16</v>
      </c>
      <c r="H132" t="s">
        <v>319</v>
      </c>
      <c r="I132" s="2">
        <v>45717</v>
      </c>
      <c r="J132" s="2">
        <v>45717</v>
      </c>
      <c r="K132">
        <v>1</v>
      </c>
      <c r="L132">
        <v>3</v>
      </c>
      <c r="M132">
        <v>2025</v>
      </c>
      <c r="N132" s="1" t="s">
        <v>429</v>
      </c>
      <c r="O132">
        <v>5</v>
      </c>
    </row>
    <row r="133" spans="1:15">
      <c r="A133" t="s">
        <v>138</v>
      </c>
      <c r="B133" t="s">
        <v>413</v>
      </c>
      <c r="D133" t="s">
        <v>138</v>
      </c>
      <c r="E133" s="1" t="s">
        <v>423</v>
      </c>
      <c r="F133" s="1">
        <v>38.5</v>
      </c>
      <c r="G133" t="s">
        <v>58</v>
      </c>
      <c r="I133" s="2">
        <v>45718</v>
      </c>
      <c r="J133" s="2">
        <v>45719</v>
      </c>
      <c r="K133">
        <v>2</v>
      </c>
      <c r="L133">
        <v>3</v>
      </c>
      <c r="M133">
        <v>2025</v>
      </c>
      <c r="N133" s="1" t="s">
        <v>429</v>
      </c>
      <c r="O133">
        <v>0</v>
      </c>
    </row>
    <row r="134" spans="1:15">
      <c r="A134" t="s">
        <v>317</v>
      </c>
      <c r="B134" t="s">
        <v>218</v>
      </c>
      <c r="C134" t="s">
        <v>172</v>
      </c>
      <c r="D134" t="s">
        <v>317</v>
      </c>
      <c r="E134" s="1" t="s">
        <v>423</v>
      </c>
      <c r="F134" s="1">
        <v>51.5</v>
      </c>
      <c r="G134" t="s">
        <v>20</v>
      </c>
      <c r="I134" s="2">
        <v>45718</v>
      </c>
      <c r="J134" s="2">
        <v>45720</v>
      </c>
      <c r="K134">
        <v>2</v>
      </c>
      <c r="L134">
        <v>3</v>
      </c>
      <c r="M134">
        <v>2025</v>
      </c>
      <c r="N134" s="1" t="s">
        <v>429</v>
      </c>
      <c r="O134">
        <v>1</v>
      </c>
    </row>
    <row r="135" spans="1:15">
      <c r="A135" t="s">
        <v>78</v>
      </c>
      <c r="B135" t="s">
        <v>413</v>
      </c>
      <c r="D135" t="s">
        <v>79</v>
      </c>
      <c r="E135" s="1" t="s">
        <v>423</v>
      </c>
      <c r="F135" s="1">
        <v>16</v>
      </c>
      <c r="G135" t="s">
        <v>95</v>
      </c>
      <c r="H135" t="s">
        <v>320</v>
      </c>
      <c r="I135" s="2">
        <v>45720</v>
      </c>
      <c r="J135" s="2">
        <v>45722</v>
      </c>
      <c r="K135">
        <v>4</v>
      </c>
      <c r="L135">
        <v>3</v>
      </c>
      <c r="M135">
        <v>2025</v>
      </c>
      <c r="N135" s="1" t="s">
        <v>429</v>
      </c>
      <c r="O135">
        <v>3</v>
      </c>
    </row>
    <row r="136" spans="1:15">
      <c r="A136" t="s">
        <v>62</v>
      </c>
      <c r="B136" t="s">
        <v>413</v>
      </c>
      <c r="C136" t="s">
        <v>10</v>
      </c>
      <c r="D136" t="s">
        <v>108</v>
      </c>
      <c r="E136" s="1" t="s">
        <v>423</v>
      </c>
      <c r="F136" s="1">
        <v>6</v>
      </c>
      <c r="G136" t="s">
        <v>20</v>
      </c>
      <c r="H136" t="s">
        <v>321</v>
      </c>
      <c r="I136" s="2">
        <v>45720</v>
      </c>
      <c r="J136" s="2">
        <v>45721</v>
      </c>
      <c r="K136">
        <v>4</v>
      </c>
      <c r="L136">
        <v>3</v>
      </c>
      <c r="M136">
        <v>2025</v>
      </c>
      <c r="N136" s="1" t="s">
        <v>429</v>
      </c>
      <c r="O136">
        <v>2</v>
      </c>
    </row>
    <row r="137" spans="1:15">
      <c r="A137" t="s">
        <v>38</v>
      </c>
      <c r="B137" t="s">
        <v>218</v>
      </c>
      <c r="C137" t="s">
        <v>172</v>
      </c>
      <c r="D137" t="s">
        <v>41</v>
      </c>
      <c r="E137" s="1" t="s">
        <v>423</v>
      </c>
      <c r="F137" s="1">
        <v>12</v>
      </c>
      <c r="G137" t="s">
        <v>20</v>
      </c>
      <c r="H137" t="s">
        <v>322</v>
      </c>
      <c r="I137" s="2">
        <v>45721</v>
      </c>
      <c r="J137" s="2">
        <v>45722</v>
      </c>
      <c r="K137">
        <v>5</v>
      </c>
      <c r="L137">
        <v>3</v>
      </c>
      <c r="M137">
        <v>2025</v>
      </c>
      <c r="N137" s="1" t="s">
        <v>429</v>
      </c>
      <c r="O137">
        <v>3</v>
      </c>
    </row>
    <row r="138" spans="1:15">
      <c r="A138" t="s">
        <v>323</v>
      </c>
      <c r="B138" t="s">
        <v>218</v>
      </c>
      <c r="C138" t="s">
        <v>170</v>
      </c>
      <c r="D138" t="s">
        <v>324</v>
      </c>
      <c r="E138" s="1" t="s">
        <v>423</v>
      </c>
      <c r="F138" s="1">
        <v>815</v>
      </c>
      <c r="G138" t="s">
        <v>12</v>
      </c>
      <c r="I138" s="2">
        <v>45722</v>
      </c>
      <c r="J138" s="2">
        <v>45724</v>
      </c>
      <c r="K138">
        <v>6</v>
      </c>
      <c r="L138">
        <v>3</v>
      </c>
      <c r="M138">
        <v>2025</v>
      </c>
      <c r="N138" s="1" t="s">
        <v>429</v>
      </c>
      <c r="O138">
        <v>5</v>
      </c>
    </row>
    <row r="139" spans="1:15">
      <c r="B139" t="s">
        <v>413</v>
      </c>
      <c r="C139" t="s">
        <v>180</v>
      </c>
      <c r="D139" t="s">
        <v>325</v>
      </c>
      <c r="E139" s="1" t="s">
        <v>422</v>
      </c>
      <c r="F139" s="1">
        <v>27</v>
      </c>
      <c r="G139" t="s">
        <v>12</v>
      </c>
      <c r="H139" t="s">
        <v>326</v>
      </c>
      <c r="I139" s="2">
        <v>45722</v>
      </c>
      <c r="J139" s="2">
        <v>45722</v>
      </c>
      <c r="K139">
        <v>6</v>
      </c>
      <c r="L139">
        <v>3</v>
      </c>
      <c r="M139">
        <v>2025</v>
      </c>
      <c r="N139" s="1" t="s">
        <v>429</v>
      </c>
      <c r="O139">
        <v>3</v>
      </c>
    </row>
    <row r="140" spans="1:15">
      <c r="A140" t="s">
        <v>323</v>
      </c>
      <c r="B140" t="s">
        <v>218</v>
      </c>
      <c r="C140" t="s">
        <v>170</v>
      </c>
      <c r="D140" t="s">
        <v>327</v>
      </c>
      <c r="E140" s="1" t="s">
        <v>423</v>
      </c>
      <c r="F140" s="1">
        <v>927</v>
      </c>
      <c r="G140" t="s">
        <v>58</v>
      </c>
      <c r="I140" s="2">
        <v>45723</v>
      </c>
      <c r="J140" s="2">
        <v>45725</v>
      </c>
      <c r="K140">
        <v>7</v>
      </c>
      <c r="L140">
        <v>3</v>
      </c>
      <c r="M140">
        <v>2025</v>
      </c>
      <c r="N140" s="1" t="s">
        <v>429</v>
      </c>
      <c r="O140">
        <v>6</v>
      </c>
    </row>
    <row r="141" spans="1:15">
      <c r="A141" t="s">
        <v>156</v>
      </c>
      <c r="B141" t="s">
        <v>413</v>
      </c>
      <c r="D141" t="s">
        <v>156</v>
      </c>
      <c r="E141" s="1"/>
      <c r="F141" s="1">
        <v>14</v>
      </c>
      <c r="G141" t="s">
        <v>12</v>
      </c>
      <c r="H141" t="s">
        <v>328</v>
      </c>
      <c r="I141" s="2">
        <v>45725</v>
      </c>
      <c r="J141" s="2">
        <v>45727</v>
      </c>
      <c r="K141">
        <v>9</v>
      </c>
      <c r="L141">
        <v>3</v>
      </c>
      <c r="M141">
        <v>2025</v>
      </c>
      <c r="N141" s="1" t="s">
        <v>429</v>
      </c>
      <c r="O141">
        <v>1</v>
      </c>
    </row>
    <row r="142" spans="1:15">
      <c r="A142" t="s">
        <v>306</v>
      </c>
      <c r="B142" t="s">
        <v>269</v>
      </c>
      <c r="C142" t="s">
        <v>126</v>
      </c>
      <c r="D142" t="s">
        <v>307</v>
      </c>
      <c r="E142" s="1" t="s">
        <v>423</v>
      </c>
      <c r="F142" s="1">
        <v>111</v>
      </c>
      <c r="G142" t="s">
        <v>58</v>
      </c>
      <c r="H142" t="s">
        <v>330</v>
      </c>
      <c r="I142" s="2">
        <v>45726</v>
      </c>
      <c r="J142" s="2">
        <v>45726</v>
      </c>
      <c r="K142">
        <v>10</v>
      </c>
      <c r="L142">
        <v>3</v>
      </c>
      <c r="M142">
        <v>2025</v>
      </c>
      <c r="N142" s="1" t="s">
        <v>429</v>
      </c>
      <c r="O142">
        <v>0</v>
      </c>
    </row>
    <row r="143" spans="1:15">
      <c r="B143" t="s">
        <v>417</v>
      </c>
      <c r="C143" t="s">
        <v>151</v>
      </c>
      <c r="D143" t="s">
        <v>331</v>
      </c>
      <c r="E143" s="1" t="s">
        <v>423</v>
      </c>
      <c r="F143" s="1">
        <v>502</v>
      </c>
      <c r="G143" t="s">
        <v>12</v>
      </c>
      <c r="H143" t="s">
        <v>332</v>
      </c>
      <c r="I143" s="2">
        <v>45727</v>
      </c>
      <c r="J143" s="2">
        <v>45727</v>
      </c>
      <c r="K143">
        <v>11</v>
      </c>
      <c r="L143">
        <v>3</v>
      </c>
      <c r="M143">
        <v>2025</v>
      </c>
      <c r="N143" s="1" t="s">
        <v>429</v>
      </c>
      <c r="O143">
        <v>1</v>
      </c>
    </row>
    <row r="144" spans="1:15">
      <c r="A144" t="s">
        <v>333</v>
      </c>
      <c r="B144" t="s">
        <v>218</v>
      </c>
      <c r="D144" t="s">
        <v>334</v>
      </c>
      <c r="E144" s="1" t="s">
        <v>423</v>
      </c>
      <c r="F144" s="1">
        <v>1152</v>
      </c>
      <c r="G144" t="s">
        <v>20</v>
      </c>
      <c r="H144" t="s">
        <v>335</v>
      </c>
      <c r="I144" s="2">
        <v>45729</v>
      </c>
      <c r="J144" s="2">
        <v>45731</v>
      </c>
      <c r="K144">
        <v>13</v>
      </c>
      <c r="L144">
        <v>3</v>
      </c>
      <c r="M144">
        <v>2025</v>
      </c>
      <c r="N144" s="1" t="s">
        <v>429</v>
      </c>
      <c r="O144">
        <v>5</v>
      </c>
    </row>
    <row r="145" spans="1:15">
      <c r="B145" t="s">
        <v>413</v>
      </c>
      <c r="D145" t="s">
        <v>213</v>
      </c>
      <c r="E145" s="1" t="s">
        <v>423</v>
      </c>
      <c r="F145" s="1">
        <v>120</v>
      </c>
      <c r="G145" t="s">
        <v>58</v>
      </c>
      <c r="H145" t="s">
        <v>336</v>
      </c>
      <c r="I145" s="2">
        <v>45730</v>
      </c>
      <c r="J145" s="2">
        <v>45732</v>
      </c>
      <c r="K145">
        <v>14</v>
      </c>
      <c r="L145">
        <v>3</v>
      </c>
      <c r="M145">
        <v>2025</v>
      </c>
      <c r="N145" s="1" t="s">
        <v>429</v>
      </c>
      <c r="O145">
        <v>6</v>
      </c>
    </row>
    <row r="146" spans="1:15">
      <c r="A146" t="s">
        <v>138</v>
      </c>
      <c r="B146" t="s">
        <v>413</v>
      </c>
      <c r="D146" t="s">
        <v>138</v>
      </c>
      <c r="E146" s="1" t="s">
        <v>422</v>
      </c>
      <c r="F146" s="1">
        <v>82.95</v>
      </c>
      <c r="G146" t="s">
        <v>20</v>
      </c>
      <c r="H146" t="s">
        <v>337</v>
      </c>
      <c r="I146" s="2">
        <v>45731</v>
      </c>
      <c r="J146" s="2">
        <v>45733</v>
      </c>
      <c r="K146">
        <v>15</v>
      </c>
      <c r="L146">
        <v>3</v>
      </c>
      <c r="M146">
        <v>2025</v>
      </c>
      <c r="N146" s="1" t="s">
        <v>429</v>
      </c>
      <c r="O146">
        <v>0</v>
      </c>
    </row>
    <row r="147" spans="1:15">
      <c r="A147" t="s">
        <v>338</v>
      </c>
      <c r="B147" t="s">
        <v>218</v>
      </c>
      <c r="C147" t="s">
        <v>35</v>
      </c>
      <c r="D147" t="s">
        <v>339</v>
      </c>
      <c r="E147" s="1" t="s">
        <v>423</v>
      </c>
      <c r="F147" s="1">
        <v>115.99</v>
      </c>
      <c r="G147" t="s">
        <v>58</v>
      </c>
      <c r="H147" t="s">
        <v>340</v>
      </c>
      <c r="I147" s="2">
        <v>45732</v>
      </c>
      <c r="J147" s="2">
        <v>45732</v>
      </c>
      <c r="K147">
        <v>16</v>
      </c>
      <c r="L147">
        <v>3</v>
      </c>
      <c r="M147">
        <v>2025</v>
      </c>
      <c r="N147" s="1" t="s">
        <v>429</v>
      </c>
      <c r="O147">
        <v>6</v>
      </c>
    </row>
    <row r="148" spans="1:15">
      <c r="A148" t="s">
        <v>341</v>
      </c>
      <c r="B148" t="s">
        <v>46</v>
      </c>
      <c r="C148" t="s">
        <v>85</v>
      </c>
      <c r="D148" t="s">
        <v>342</v>
      </c>
      <c r="E148" s="1" t="s">
        <v>423</v>
      </c>
      <c r="F148" s="1">
        <v>21</v>
      </c>
      <c r="G148" t="s">
        <v>16</v>
      </c>
      <c r="H148" t="s">
        <v>343</v>
      </c>
      <c r="I148" s="2">
        <v>45733</v>
      </c>
      <c r="J148" s="2">
        <v>45735</v>
      </c>
      <c r="K148">
        <v>17</v>
      </c>
      <c r="L148">
        <v>3</v>
      </c>
      <c r="M148">
        <v>2025</v>
      </c>
      <c r="N148" s="1" t="s">
        <v>429</v>
      </c>
      <c r="O148">
        <v>2</v>
      </c>
    </row>
    <row r="149" spans="1:15">
      <c r="A149" t="s">
        <v>62</v>
      </c>
      <c r="B149" t="s">
        <v>413</v>
      </c>
      <c r="C149" t="s">
        <v>30</v>
      </c>
      <c r="D149" t="s">
        <v>108</v>
      </c>
      <c r="E149" s="1" t="s">
        <v>423</v>
      </c>
      <c r="F149" s="1">
        <v>7.5</v>
      </c>
      <c r="G149" t="s">
        <v>58</v>
      </c>
      <c r="I149" s="2">
        <v>45734</v>
      </c>
      <c r="J149" s="2">
        <v>45735</v>
      </c>
      <c r="K149">
        <v>18</v>
      </c>
      <c r="L149">
        <v>3</v>
      </c>
      <c r="M149">
        <v>2025</v>
      </c>
      <c r="N149" s="1" t="s">
        <v>429</v>
      </c>
      <c r="O149">
        <v>2</v>
      </c>
    </row>
    <row r="150" spans="1:15">
      <c r="A150" t="s">
        <v>239</v>
      </c>
      <c r="B150" t="s">
        <v>269</v>
      </c>
      <c r="C150" t="s">
        <v>122</v>
      </c>
      <c r="D150" t="s">
        <v>344</v>
      </c>
      <c r="E150" s="1" t="s">
        <v>422</v>
      </c>
      <c r="F150" s="1">
        <v>152.94999999999999</v>
      </c>
      <c r="G150" t="s">
        <v>16</v>
      </c>
      <c r="I150" s="2">
        <v>45735</v>
      </c>
      <c r="J150" s="2">
        <v>45736</v>
      </c>
      <c r="K150">
        <v>19</v>
      </c>
      <c r="L150">
        <v>3</v>
      </c>
      <c r="M150">
        <v>2025</v>
      </c>
      <c r="N150" s="1" t="s">
        <v>429</v>
      </c>
      <c r="O150">
        <v>3</v>
      </c>
    </row>
    <row r="151" spans="1:15">
      <c r="A151" t="s">
        <v>345</v>
      </c>
      <c r="B151" t="s">
        <v>414</v>
      </c>
      <c r="C151" t="s">
        <v>178</v>
      </c>
      <c r="D151" t="s">
        <v>346</v>
      </c>
      <c r="E151" s="1" t="s">
        <v>422</v>
      </c>
      <c r="F151" s="1">
        <v>354.5</v>
      </c>
      <c r="G151" t="s">
        <v>58</v>
      </c>
      <c r="I151" s="2">
        <v>45736</v>
      </c>
      <c r="J151" s="2">
        <v>45737</v>
      </c>
      <c r="K151">
        <v>20</v>
      </c>
      <c r="L151">
        <v>3</v>
      </c>
      <c r="M151">
        <v>2025</v>
      </c>
      <c r="N151" s="1" t="s">
        <v>429</v>
      </c>
      <c r="O151">
        <v>4</v>
      </c>
    </row>
    <row r="152" spans="1:15">
      <c r="A152" t="s">
        <v>68</v>
      </c>
      <c r="B152" t="s">
        <v>218</v>
      </c>
      <c r="D152" t="s">
        <v>68</v>
      </c>
      <c r="E152" s="1" t="s">
        <v>422</v>
      </c>
      <c r="F152" s="1">
        <v>34.99</v>
      </c>
      <c r="G152" t="s">
        <v>20</v>
      </c>
      <c r="H152" t="s">
        <v>347</v>
      </c>
      <c r="I152" s="2">
        <v>45737</v>
      </c>
      <c r="J152" s="2">
        <v>45738</v>
      </c>
      <c r="K152">
        <v>21</v>
      </c>
      <c r="L152">
        <v>3</v>
      </c>
      <c r="M152">
        <v>2025</v>
      </c>
      <c r="N152" s="1" t="s">
        <v>429</v>
      </c>
      <c r="O152">
        <v>5</v>
      </c>
    </row>
    <row r="153" spans="1:15">
      <c r="A153" t="s">
        <v>348</v>
      </c>
      <c r="B153" t="s">
        <v>269</v>
      </c>
      <c r="C153" t="s">
        <v>126</v>
      </c>
      <c r="D153" t="s">
        <v>349</v>
      </c>
      <c r="E153" s="1" t="s">
        <v>422</v>
      </c>
      <c r="F153" s="1">
        <v>86</v>
      </c>
      <c r="G153" t="s">
        <v>20</v>
      </c>
      <c r="H153" t="s">
        <v>350</v>
      </c>
      <c r="I153" s="2">
        <v>45742</v>
      </c>
      <c r="J153" s="2">
        <v>45743</v>
      </c>
      <c r="K153">
        <v>26</v>
      </c>
      <c r="L153">
        <v>3</v>
      </c>
      <c r="M153">
        <v>2025</v>
      </c>
      <c r="N153" s="1" t="s">
        <v>429</v>
      </c>
      <c r="O153">
        <v>3</v>
      </c>
    </row>
    <row r="154" spans="1:15">
      <c r="A154" t="s">
        <v>177</v>
      </c>
      <c r="B154" t="s">
        <v>414</v>
      </c>
      <c r="C154" t="s">
        <v>105</v>
      </c>
      <c r="D154" t="s">
        <v>351</v>
      </c>
      <c r="E154" s="1" t="s">
        <v>423</v>
      </c>
      <c r="F154" s="1">
        <v>41</v>
      </c>
      <c r="G154" t="s">
        <v>16</v>
      </c>
      <c r="I154" s="2">
        <v>45742</v>
      </c>
      <c r="J154" s="2">
        <v>45742</v>
      </c>
      <c r="K154">
        <v>26</v>
      </c>
      <c r="L154">
        <v>3</v>
      </c>
      <c r="M154">
        <v>2025</v>
      </c>
      <c r="N154" s="1" t="s">
        <v>429</v>
      </c>
      <c r="O154">
        <v>2</v>
      </c>
    </row>
    <row r="155" spans="1:15">
      <c r="A155" t="s">
        <v>29</v>
      </c>
      <c r="B155" t="s">
        <v>413</v>
      </c>
      <c r="C155" t="s">
        <v>60</v>
      </c>
      <c r="D155" t="s">
        <v>11</v>
      </c>
      <c r="E155" s="1" t="s">
        <v>423</v>
      </c>
      <c r="F155" s="1">
        <v>15</v>
      </c>
      <c r="G155" t="s">
        <v>58</v>
      </c>
      <c r="H155" t="s">
        <v>352</v>
      </c>
      <c r="I155" s="2">
        <v>45743</v>
      </c>
      <c r="J155" s="2">
        <v>45745</v>
      </c>
      <c r="K155">
        <v>27</v>
      </c>
      <c r="L155">
        <v>3</v>
      </c>
      <c r="M155">
        <v>2025</v>
      </c>
      <c r="N155" s="1" t="s">
        <v>429</v>
      </c>
      <c r="O155">
        <v>5</v>
      </c>
    </row>
    <row r="156" spans="1:15">
      <c r="A156" t="s">
        <v>62</v>
      </c>
      <c r="B156" t="s">
        <v>413</v>
      </c>
      <c r="C156" t="s">
        <v>10</v>
      </c>
      <c r="D156" t="s">
        <v>62</v>
      </c>
      <c r="E156" s="1" t="s">
        <v>423</v>
      </c>
      <c r="F156" s="1">
        <v>6.67</v>
      </c>
      <c r="G156" t="s">
        <v>16</v>
      </c>
      <c r="H156" t="s">
        <v>353</v>
      </c>
      <c r="I156" s="2">
        <v>45743</v>
      </c>
      <c r="J156" s="2">
        <v>45745</v>
      </c>
      <c r="K156">
        <v>27</v>
      </c>
      <c r="L156">
        <v>3</v>
      </c>
      <c r="M156">
        <v>2025</v>
      </c>
      <c r="N156" s="1" t="s">
        <v>429</v>
      </c>
      <c r="O156">
        <v>5</v>
      </c>
    </row>
    <row r="157" spans="1:15">
      <c r="A157" t="s">
        <v>234</v>
      </c>
      <c r="B157" t="s">
        <v>218</v>
      </c>
      <c r="C157" t="s">
        <v>192</v>
      </c>
      <c r="D157" t="s">
        <v>235</v>
      </c>
      <c r="E157" s="1"/>
      <c r="F157" s="1">
        <v>32.950000000000003</v>
      </c>
      <c r="G157" t="s">
        <v>20</v>
      </c>
      <c r="H157" t="s">
        <v>354</v>
      </c>
      <c r="I157" s="2">
        <v>45744</v>
      </c>
      <c r="J157" s="2">
        <v>45746</v>
      </c>
      <c r="K157">
        <v>28</v>
      </c>
      <c r="L157">
        <v>3</v>
      </c>
      <c r="M157">
        <v>2025</v>
      </c>
      <c r="N157" s="1" t="s">
        <v>429</v>
      </c>
      <c r="O157">
        <v>6</v>
      </c>
    </row>
    <row r="158" spans="1:15">
      <c r="A158" t="s">
        <v>61</v>
      </c>
      <c r="B158" t="s">
        <v>413</v>
      </c>
      <c r="C158" t="s">
        <v>60</v>
      </c>
      <c r="D158" t="s">
        <v>355</v>
      </c>
      <c r="E158" s="1" t="s">
        <v>422</v>
      </c>
      <c r="F158" s="1">
        <v>5.5</v>
      </c>
      <c r="G158" t="s">
        <v>95</v>
      </c>
      <c r="H158" t="s">
        <v>356</v>
      </c>
      <c r="I158" s="2">
        <v>45745</v>
      </c>
      <c r="J158" s="2">
        <v>45745</v>
      </c>
      <c r="K158">
        <v>29</v>
      </c>
      <c r="L158">
        <v>3</v>
      </c>
      <c r="M158">
        <v>2025</v>
      </c>
      <c r="N158" s="1" t="s">
        <v>429</v>
      </c>
      <c r="O158">
        <v>5</v>
      </c>
    </row>
    <row r="159" spans="1:15">
      <c r="B159" t="s">
        <v>413</v>
      </c>
      <c r="C159" t="s">
        <v>22</v>
      </c>
      <c r="D159" t="s">
        <v>357</v>
      </c>
      <c r="E159" s="1" t="s">
        <v>423</v>
      </c>
      <c r="F159" s="1">
        <v>23.49</v>
      </c>
      <c r="G159" t="s">
        <v>16</v>
      </c>
      <c r="H159" t="s">
        <v>358</v>
      </c>
      <c r="I159" s="2">
        <v>45745</v>
      </c>
      <c r="J159" s="2">
        <v>45745</v>
      </c>
      <c r="K159">
        <v>29</v>
      </c>
      <c r="L159">
        <v>3</v>
      </c>
      <c r="M159">
        <v>2025</v>
      </c>
      <c r="N159" s="1" t="s">
        <v>429</v>
      </c>
      <c r="O159">
        <v>5</v>
      </c>
    </row>
    <row r="160" spans="1:15">
      <c r="A160" t="s">
        <v>298</v>
      </c>
      <c r="B160" t="s">
        <v>269</v>
      </c>
      <c r="C160" t="s">
        <v>122</v>
      </c>
      <c r="D160" t="s">
        <v>359</v>
      </c>
      <c r="E160" s="1" t="s">
        <v>423</v>
      </c>
      <c r="F160" s="1">
        <v>171</v>
      </c>
      <c r="G160" t="s">
        <v>20</v>
      </c>
      <c r="I160" s="2">
        <v>45746</v>
      </c>
      <c r="J160" s="2">
        <v>45748</v>
      </c>
      <c r="K160">
        <v>30</v>
      </c>
      <c r="L160">
        <v>3</v>
      </c>
      <c r="M160">
        <v>2025</v>
      </c>
      <c r="N160" s="1" t="s">
        <v>429</v>
      </c>
      <c r="O160">
        <v>1</v>
      </c>
    </row>
    <row r="161" spans="1:15">
      <c r="B161" t="s">
        <v>418</v>
      </c>
      <c r="C161" t="s">
        <v>294</v>
      </c>
      <c r="D161" t="s">
        <v>245</v>
      </c>
      <c r="E161" s="1" t="s">
        <v>422</v>
      </c>
      <c r="F161" s="1">
        <v>75.95</v>
      </c>
      <c r="G161" t="s">
        <v>20</v>
      </c>
      <c r="H161" t="s">
        <v>360</v>
      </c>
      <c r="I161" s="2">
        <v>45746</v>
      </c>
      <c r="J161" s="2">
        <v>45748</v>
      </c>
      <c r="K161">
        <v>30</v>
      </c>
      <c r="L161">
        <v>3</v>
      </c>
      <c r="M161">
        <v>2025</v>
      </c>
      <c r="N161" s="1" t="s">
        <v>429</v>
      </c>
      <c r="O161">
        <v>1</v>
      </c>
    </row>
    <row r="162" spans="1:15">
      <c r="A162" t="s">
        <v>361</v>
      </c>
      <c r="B162" t="s">
        <v>415</v>
      </c>
      <c r="D162" t="s">
        <v>362</v>
      </c>
      <c r="E162" s="1" t="s">
        <v>422</v>
      </c>
      <c r="F162" s="1">
        <v>167.95</v>
      </c>
      <c r="G162" t="s">
        <v>12</v>
      </c>
      <c r="H162" t="s">
        <v>363</v>
      </c>
      <c r="I162" s="2">
        <v>45746</v>
      </c>
      <c r="J162" s="2">
        <v>45746</v>
      </c>
      <c r="K162">
        <v>30</v>
      </c>
      <c r="L162">
        <v>3</v>
      </c>
      <c r="M162">
        <v>2025</v>
      </c>
      <c r="N162" s="1" t="s">
        <v>429</v>
      </c>
      <c r="O162">
        <v>6</v>
      </c>
    </row>
    <row r="163" spans="1:15">
      <c r="B163" t="s">
        <v>413</v>
      </c>
      <c r="C163" t="s">
        <v>139</v>
      </c>
      <c r="D163" t="s">
        <v>132</v>
      </c>
      <c r="E163" s="1"/>
      <c r="F163" s="1">
        <v>56</v>
      </c>
      <c r="G163" t="s">
        <v>16</v>
      </c>
      <c r="I163" s="2">
        <v>45747</v>
      </c>
      <c r="J163" s="2">
        <v>45748</v>
      </c>
      <c r="K163">
        <v>31</v>
      </c>
      <c r="L163">
        <v>3</v>
      </c>
      <c r="M163">
        <v>2025</v>
      </c>
      <c r="N163" s="1" t="s">
        <v>429</v>
      </c>
      <c r="O163">
        <v>1</v>
      </c>
    </row>
    <row r="164" spans="1:15">
      <c r="B164" t="s">
        <v>218</v>
      </c>
      <c r="D164" t="s">
        <v>364</v>
      </c>
      <c r="E164" s="1" t="s">
        <v>422</v>
      </c>
      <c r="F164" s="1">
        <v>41.5</v>
      </c>
      <c r="G164" t="s">
        <v>20</v>
      </c>
      <c r="H164" t="s">
        <v>365</v>
      </c>
      <c r="I164" s="2">
        <v>45747</v>
      </c>
      <c r="J164" s="2">
        <v>45749</v>
      </c>
      <c r="K164">
        <v>31</v>
      </c>
      <c r="L164">
        <v>3</v>
      </c>
      <c r="M164">
        <v>2025</v>
      </c>
      <c r="N164" s="1" t="s">
        <v>429</v>
      </c>
      <c r="O164">
        <v>2</v>
      </c>
    </row>
    <row r="165" spans="1:15">
      <c r="A165" t="s">
        <v>292</v>
      </c>
      <c r="B165" t="s">
        <v>418</v>
      </c>
      <c r="D165" t="s">
        <v>292</v>
      </c>
      <c r="E165" s="1" t="s">
        <v>423</v>
      </c>
      <c r="F165" s="1">
        <v>75.95</v>
      </c>
      <c r="G165" t="s">
        <v>20</v>
      </c>
      <c r="I165" s="2">
        <v>45779</v>
      </c>
      <c r="J165" s="2">
        <v>45780</v>
      </c>
      <c r="K165">
        <v>2</v>
      </c>
      <c r="L165">
        <v>5</v>
      </c>
      <c r="M165">
        <v>2025</v>
      </c>
      <c r="N165" s="1" t="s">
        <v>430</v>
      </c>
      <c r="O165">
        <v>5</v>
      </c>
    </row>
    <row r="166" spans="1:15">
      <c r="A166" t="s">
        <v>255</v>
      </c>
      <c r="B166" t="s">
        <v>218</v>
      </c>
      <c r="C166" t="s">
        <v>40</v>
      </c>
      <c r="D166" t="s">
        <v>366</v>
      </c>
      <c r="E166" s="1" t="s">
        <v>422</v>
      </c>
      <c r="F166" s="1">
        <v>68</v>
      </c>
      <c r="G166" t="s">
        <v>20</v>
      </c>
      <c r="I166" s="2">
        <v>45780</v>
      </c>
      <c r="J166" s="2">
        <v>45781</v>
      </c>
      <c r="K166">
        <v>3</v>
      </c>
      <c r="L166">
        <v>5</v>
      </c>
      <c r="M166">
        <v>2025</v>
      </c>
      <c r="N166" s="1" t="s">
        <v>430</v>
      </c>
      <c r="O166">
        <v>6</v>
      </c>
    </row>
    <row r="167" spans="1:15">
      <c r="A167" t="s">
        <v>367</v>
      </c>
      <c r="B167" t="s">
        <v>417</v>
      </c>
      <c r="C167" t="s">
        <v>151</v>
      </c>
      <c r="D167" t="s">
        <v>312</v>
      </c>
      <c r="E167" s="1" t="s">
        <v>423</v>
      </c>
      <c r="F167" s="1">
        <v>473.99</v>
      </c>
      <c r="G167" t="s">
        <v>20</v>
      </c>
      <c r="H167" t="s">
        <v>368</v>
      </c>
      <c r="I167" s="2">
        <v>45780</v>
      </c>
      <c r="J167" s="2">
        <v>45782</v>
      </c>
      <c r="K167">
        <v>3</v>
      </c>
      <c r="L167">
        <v>5</v>
      </c>
      <c r="M167">
        <v>2025</v>
      </c>
      <c r="N167" s="1" t="s">
        <v>430</v>
      </c>
      <c r="O167">
        <v>0</v>
      </c>
    </row>
    <row r="168" spans="1:15">
      <c r="A168" t="s">
        <v>64</v>
      </c>
      <c r="B168" t="s">
        <v>413</v>
      </c>
      <c r="C168" t="s">
        <v>70</v>
      </c>
      <c r="D168" t="s">
        <v>44</v>
      </c>
      <c r="E168" s="1" t="s">
        <v>423</v>
      </c>
      <c r="F168" s="1">
        <v>54</v>
      </c>
      <c r="G168" t="s">
        <v>20</v>
      </c>
      <c r="I168" s="2">
        <v>45780</v>
      </c>
      <c r="J168" s="2">
        <v>45782</v>
      </c>
      <c r="K168">
        <v>3</v>
      </c>
      <c r="L168">
        <v>5</v>
      </c>
      <c r="M168">
        <v>2025</v>
      </c>
      <c r="N168" s="1" t="s">
        <v>430</v>
      </c>
      <c r="O168">
        <v>0</v>
      </c>
    </row>
    <row r="169" spans="1:15">
      <c r="A169" t="s">
        <v>369</v>
      </c>
      <c r="B169" t="s">
        <v>414</v>
      </c>
      <c r="C169" t="s">
        <v>105</v>
      </c>
      <c r="D169" t="s">
        <v>370</v>
      </c>
      <c r="E169" s="1"/>
      <c r="F169" s="1">
        <v>32.950000000000003</v>
      </c>
      <c r="G169" t="s">
        <v>58</v>
      </c>
      <c r="H169" t="s">
        <v>371</v>
      </c>
      <c r="I169" s="2">
        <v>45781</v>
      </c>
      <c r="J169" s="2">
        <v>45781</v>
      </c>
      <c r="K169">
        <v>4</v>
      </c>
      <c r="L169">
        <v>5</v>
      </c>
      <c r="M169">
        <v>2025</v>
      </c>
      <c r="N169" s="1" t="s">
        <v>430</v>
      </c>
      <c r="O169">
        <v>6</v>
      </c>
    </row>
    <row r="170" spans="1:15">
      <c r="B170" t="s">
        <v>218</v>
      </c>
      <c r="C170" t="s">
        <v>192</v>
      </c>
      <c r="D170" t="s">
        <v>185</v>
      </c>
      <c r="E170" s="1" t="s">
        <v>422</v>
      </c>
      <c r="F170" s="1">
        <v>18.670000000000002</v>
      </c>
      <c r="G170" t="s">
        <v>20</v>
      </c>
      <c r="H170" t="s">
        <v>372</v>
      </c>
      <c r="I170" s="2">
        <v>45781</v>
      </c>
      <c r="J170" s="2">
        <v>45781</v>
      </c>
      <c r="K170">
        <v>4</v>
      </c>
      <c r="L170">
        <v>5</v>
      </c>
      <c r="M170">
        <v>2025</v>
      </c>
      <c r="N170" s="1" t="s">
        <v>430</v>
      </c>
      <c r="O170">
        <v>6</v>
      </c>
    </row>
    <row r="171" spans="1:15">
      <c r="A171" t="s">
        <v>373</v>
      </c>
      <c r="B171" t="s">
        <v>415</v>
      </c>
      <c r="C171" t="s">
        <v>125</v>
      </c>
      <c r="D171" t="s">
        <v>374</v>
      </c>
      <c r="E171" s="1" t="s">
        <v>423</v>
      </c>
      <c r="F171" s="1">
        <v>209</v>
      </c>
      <c r="G171" t="s">
        <v>58</v>
      </c>
      <c r="H171" t="s">
        <v>375</v>
      </c>
      <c r="I171" s="2">
        <v>45782</v>
      </c>
      <c r="J171" s="2">
        <v>45784</v>
      </c>
      <c r="K171">
        <v>5</v>
      </c>
      <c r="L171">
        <v>5</v>
      </c>
      <c r="M171">
        <v>2025</v>
      </c>
      <c r="N171" s="1" t="s">
        <v>430</v>
      </c>
      <c r="O171">
        <v>2</v>
      </c>
    </row>
    <row r="172" spans="1:15">
      <c r="A172" t="s">
        <v>29</v>
      </c>
      <c r="B172" t="s">
        <v>413</v>
      </c>
      <c r="D172" t="s">
        <v>11</v>
      </c>
      <c r="E172" s="1" t="s">
        <v>422</v>
      </c>
      <c r="F172" s="1">
        <v>17.350000000000001</v>
      </c>
      <c r="G172" t="s">
        <v>20</v>
      </c>
      <c r="H172" t="s">
        <v>376</v>
      </c>
      <c r="I172" s="2">
        <v>45783</v>
      </c>
      <c r="J172" s="2">
        <v>45785</v>
      </c>
      <c r="K172">
        <v>6</v>
      </c>
      <c r="L172">
        <v>5</v>
      </c>
      <c r="M172">
        <v>2025</v>
      </c>
      <c r="N172" s="1" t="s">
        <v>430</v>
      </c>
      <c r="O172">
        <v>3</v>
      </c>
    </row>
    <row r="173" spans="1:15">
      <c r="A173" t="s">
        <v>377</v>
      </c>
      <c r="B173" t="s">
        <v>418</v>
      </c>
      <c r="D173" t="s">
        <v>378</v>
      </c>
      <c r="E173" s="1" t="s">
        <v>423</v>
      </c>
      <c r="F173" s="1">
        <v>61.49</v>
      </c>
      <c r="G173" t="s">
        <v>58</v>
      </c>
      <c r="I173" s="2">
        <v>45784</v>
      </c>
      <c r="J173" s="2">
        <v>45784</v>
      </c>
      <c r="K173">
        <v>7</v>
      </c>
      <c r="L173">
        <v>5</v>
      </c>
      <c r="M173">
        <v>2025</v>
      </c>
      <c r="N173" s="1" t="s">
        <v>430</v>
      </c>
      <c r="O173">
        <v>2</v>
      </c>
    </row>
    <row r="174" spans="1:15">
      <c r="A174" t="s">
        <v>379</v>
      </c>
      <c r="B174" t="s">
        <v>413</v>
      </c>
      <c r="C174" t="s">
        <v>70</v>
      </c>
      <c r="D174" t="s">
        <v>380</v>
      </c>
      <c r="E174" s="1"/>
      <c r="F174" s="1">
        <v>66.989999999999995</v>
      </c>
      <c r="G174" t="s">
        <v>16</v>
      </c>
      <c r="I174" s="2">
        <v>45784</v>
      </c>
      <c r="J174" s="2">
        <v>45786</v>
      </c>
      <c r="K174">
        <v>7</v>
      </c>
      <c r="L174">
        <v>5</v>
      </c>
      <c r="M174">
        <v>2025</v>
      </c>
      <c r="N174" s="1" t="s">
        <v>430</v>
      </c>
      <c r="O174">
        <v>4</v>
      </c>
    </row>
    <row r="175" spans="1:15">
      <c r="B175" t="s">
        <v>413</v>
      </c>
      <c r="C175" t="s">
        <v>83</v>
      </c>
      <c r="D175" t="s">
        <v>381</v>
      </c>
      <c r="E175" s="1" t="s">
        <v>422</v>
      </c>
      <c r="F175" s="1">
        <v>35.99</v>
      </c>
      <c r="G175" t="s">
        <v>20</v>
      </c>
      <c r="H175" t="s">
        <v>382</v>
      </c>
      <c r="I175" s="2">
        <v>45786</v>
      </c>
      <c r="J175" s="2">
        <v>45786</v>
      </c>
      <c r="K175">
        <v>9</v>
      </c>
      <c r="L175">
        <v>5</v>
      </c>
      <c r="M175">
        <v>2025</v>
      </c>
      <c r="N175" s="1" t="s">
        <v>430</v>
      </c>
      <c r="O175">
        <v>4</v>
      </c>
    </row>
    <row r="176" spans="1:15">
      <c r="A176" t="s">
        <v>61</v>
      </c>
      <c r="B176" t="s">
        <v>413</v>
      </c>
      <c r="C176" t="s">
        <v>10</v>
      </c>
      <c r="D176" t="s">
        <v>329</v>
      </c>
      <c r="E176" s="1" t="s">
        <v>422</v>
      </c>
      <c r="F176" s="1">
        <v>7.49</v>
      </c>
      <c r="G176" t="s">
        <v>20</v>
      </c>
      <c r="I176" s="2">
        <v>45787</v>
      </c>
      <c r="J176" s="2">
        <v>45789</v>
      </c>
      <c r="K176">
        <v>10</v>
      </c>
      <c r="L176">
        <v>5</v>
      </c>
      <c r="M176">
        <v>2025</v>
      </c>
      <c r="N176" s="1" t="s">
        <v>430</v>
      </c>
      <c r="O176">
        <v>0</v>
      </c>
    </row>
    <row r="177" spans="1:15">
      <c r="B177" t="s">
        <v>413</v>
      </c>
      <c r="C177" t="s">
        <v>82</v>
      </c>
      <c r="D177" t="s">
        <v>213</v>
      </c>
      <c r="E177" s="1" t="s">
        <v>422</v>
      </c>
      <c r="F177" s="1">
        <v>123.95</v>
      </c>
      <c r="G177" t="s">
        <v>58</v>
      </c>
      <c r="H177" t="s">
        <v>383</v>
      </c>
      <c r="I177" s="2">
        <v>45787</v>
      </c>
      <c r="J177" s="2">
        <v>45788</v>
      </c>
      <c r="K177">
        <v>10</v>
      </c>
      <c r="L177">
        <v>5</v>
      </c>
      <c r="M177">
        <v>2025</v>
      </c>
      <c r="N177" s="1" t="s">
        <v>430</v>
      </c>
      <c r="O177">
        <v>6</v>
      </c>
    </row>
    <row r="178" spans="1:15">
      <c r="B178" t="s">
        <v>269</v>
      </c>
      <c r="C178" t="s">
        <v>126</v>
      </c>
      <c r="D178" t="s">
        <v>306</v>
      </c>
      <c r="E178" s="1" t="s">
        <v>423</v>
      </c>
      <c r="F178" s="1">
        <v>143.49</v>
      </c>
      <c r="G178" t="s">
        <v>12</v>
      </c>
      <c r="H178" t="s">
        <v>384</v>
      </c>
      <c r="I178" s="2">
        <v>45788</v>
      </c>
      <c r="J178" s="2">
        <v>45789</v>
      </c>
      <c r="K178">
        <v>11</v>
      </c>
      <c r="L178">
        <v>5</v>
      </c>
      <c r="M178">
        <v>2025</v>
      </c>
      <c r="N178" s="1" t="s">
        <v>430</v>
      </c>
      <c r="O178">
        <v>0</v>
      </c>
    </row>
    <row r="179" spans="1:15">
      <c r="A179" t="s">
        <v>385</v>
      </c>
      <c r="B179" t="s">
        <v>218</v>
      </c>
      <c r="C179" t="s">
        <v>56</v>
      </c>
      <c r="D179" t="s">
        <v>386</v>
      </c>
      <c r="E179" s="1"/>
      <c r="F179" s="1">
        <v>1031.95</v>
      </c>
      <c r="G179" t="s">
        <v>58</v>
      </c>
      <c r="H179" t="s">
        <v>387</v>
      </c>
      <c r="I179" s="2">
        <v>45788</v>
      </c>
      <c r="J179" s="2">
        <v>45789</v>
      </c>
      <c r="K179">
        <v>11</v>
      </c>
      <c r="L179">
        <v>5</v>
      </c>
      <c r="M179">
        <v>2025</v>
      </c>
      <c r="N179" s="1" t="s">
        <v>430</v>
      </c>
      <c r="O179">
        <v>0</v>
      </c>
    </row>
    <row r="180" spans="1:15">
      <c r="A180" t="s">
        <v>222</v>
      </c>
      <c r="B180" t="s">
        <v>269</v>
      </c>
      <c r="D180" t="s">
        <v>388</v>
      </c>
      <c r="E180" s="1" t="s">
        <v>423</v>
      </c>
      <c r="F180" s="1">
        <v>125</v>
      </c>
      <c r="G180" t="s">
        <v>95</v>
      </c>
      <c r="I180" s="2">
        <v>45789</v>
      </c>
      <c r="J180" s="2">
        <v>45791</v>
      </c>
      <c r="K180">
        <v>12</v>
      </c>
      <c r="L180">
        <v>5</v>
      </c>
      <c r="M180">
        <v>2025</v>
      </c>
      <c r="N180" s="1" t="s">
        <v>430</v>
      </c>
      <c r="O180">
        <v>2</v>
      </c>
    </row>
    <row r="181" spans="1:15">
      <c r="A181" t="s">
        <v>62</v>
      </c>
      <c r="B181" t="s">
        <v>413</v>
      </c>
      <c r="C181" t="s">
        <v>60</v>
      </c>
      <c r="D181" t="s">
        <v>108</v>
      </c>
      <c r="E181" s="1" t="s">
        <v>423</v>
      </c>
      <c r="F181" s="1">
        <v>21</v>
      </c>
      <c r="G181" t="s">
        <v>12</v>
      </c>
      <c r="H181" t="s">
        <v>389</v>
      </c>
      <c r="I181" s="2">
        <v>45792</v>
      </c>
      <c r="J181" s="2">
        <v>45793</v>
      </c>
      <c r="K181">
        <v>15</v>
      </c>
      <c r="L181">
        <v>5</v>
      </c>
      <c r="M181">
        <v>2025</v>
      </c>
      <c r="N181" s="1" t="s">
        <v>430</v>
      </c>
      <c r="O181">
        <v>4</v>
      </c>
    </row>
    <row r="182" spans="1:15">
      <c r="B182" t="s">
        <v>413</v>
      </c>
      <c r="D182" t="s">
        <v>52</v>
      </c>
      <c r="E182" s="1" t="s">
        <v>422</v>
      </c>
      <c r="F182" s="1">
        <v>29</v>
      </c>
      <c r="G182" t="s">
        <v>16</v>
      </c>
      <c r="I182" s="2">
        <v>45793</v>
      </c>
      <c r="J182" s="2">
        <v>45794</v>
      </c>
      <c r="K182">
        <v>16</v>
      </c>
      <c r="L182">
        <v>5</v>
      </c>
      <c r="M182">
        <v>2025</v>
      </c>
      <c r="N182" s="1" t="s">
        <v>430</v>
      </c>
      <c r="O182">
        <v>5</v>
      </c>
    </row>
    <row r="183" spans="1:15">
      <c r="A183" t="s">
        <v>114</v>
      </c>
      <c r="B183" t="s">
        <v>413</v>
      </c>
      <c r="C183" t="s">
        <v>10</v>
      </c>
      <c r="D183" t="s">
        <v>145</v>
      </c>
      <c r="E183" s="1" t="s">
        <v>422</v>
      </c>
      <c r="F183" s="1">
        <v>10.5</v>
      </c>
      <c r="G183" t="s">
        <v>12</v>
      </c>
      <c r="H183" t="s">
        <v>390</v>
      </c>
      <c r="I183" s="2">
        <v>45795</v>
      </c>
      <c r="J183" s="2">
        <v>45797</v>
      </c>
      <c r="K183">
        <v>18</v>
      </c>
      <c r="L183">
        <v>5</v>
      </c>
      <c r="M183">
        <v>2025</v>
      </c>
      <c r="N183" s="1" t="s">
        <v>430</v>
      </c>
      <c r="O183">
        <v>1</v>
      </c>
    </row>
    <row r="184" spans="1:15">
      <c r="A184" t="s">
        <v>209</v>
      </c>
      <c r="B184" t="s">
        <v>269</v>
      </c>
      <c r="C184" t="s">
        <v>122</v>
      </c>
      <c r="D184" t="s">
        <v>391</v>
      </c>
      <c r="E184" s="1" t="s">
        <v>423</v>
      </c>
      <c r="F184" s="1">
        <v>22.93</v>
      </c>
      <c r="G184" t="s">
        <v>20</v>
      </c>
      <c r="I184" s="2">
        <v>45795</v>
      </c>
      <c r="J184" s="2">
        <v>45797</v>
      </c>
      <c r="K184">
        <v>18</v>
      </c>
      <c r="L184">
        <v>5</v>
      </c>
      <c r="M184">
        <v>2025</v>
      </c>
      <c r="N184" s="1" t="s">
        <v>430</v>
      </c>
      <c r="O184">
        <v>1</v>
      </c>
    </row>
    <row r="185" spans="1:15">
      <c r="B185" t="s">
        <v>413</v>
      </c>
      <c r="C185" t="s">
        <v>180</v>
      </c>
      <c r="D185" t="s">
        <v>392</v>
      </c>
      <c r="E185" s="1" t="s">
        <v>423</v>
      </c>
      <c r="F185" s="1">
        <v>55</v>
      </c>
      <c r="G185" t="s">
        <v>16</v>
      </c>
      <c r="I185" s="2">
        <v>45796</v>
      </c>
      <c r="J185" s="2">
        <v>45798</v>
      </c>
      <c r="K185">
        <v>19</v>
      </c>
      <c r="L185">
        <v>5</v>
      </c>
      <c r="M185">
        <v>2025</v>
      </c>
      <c r="N185" s="1" t="s">
        <v>430</v>
      </c>
      <c r="O185">
        <v>2</v>
      </c>
    </row>
    <row r="186" spans="1:15">
      <c r="A186" t="s">
        <v>393</v>
      </c>
      <c r="B186" t="s">
        <v>418</v>
      </c>
      <c r="C186" t="s">
        <v>294</v>
      </c>
      <c r="D186" t="s">
        <v>394</v>
      </c>
      <c r="E186" s="1" t="s">
        <v>423</v>
      </c>
      <c r="F186" s="1">
        <v>71.5</v>
      </c>
      <c r="G186" t="s">
        <v>95</v>
      </c>
      <c r="I186" s="2">
        <v>45796</v>
      </c>
      <c r="J186" s="2">
        <v>45797</v>
      </c>
      <c r="K186">
        <v>19</v>
      </c>
      <c r="L186">
        <v>5</v>
      </c>
      <c r="M186">
        <v>2025</v>
      </c>
      <c r="N186" s="1" t="s">
        <v>430</v>
      </c>
      <c r="O186">
        <v>1</v>
      </c>
    </row>
    <row r="187" spans="1:15">
      <c r="A187" t="s">
        <v>395</v>
      </c>
      <c r="B187" t="s">
        <v>415</v>
      </c>
      <c r="C187" t="s">
        <v>199</v>
      </c>
      <c r="D187" t="s">
        <v>396</v>
      </c>
      <c r="E187" s="1" t="s">
        <v>423</v>
      </c>
      <c r="F187" s="1">
        <v>234.49</v>
      </c>
      <c r="G187" t="s">
        <v>20</v>
      </c>
      <c r="I187" s="2">
        <v>45797</v>
      </c>
      <c r="J187" s="2">
        <v>45798</v>
      </c>
      <c r="K187">
        <v>20</v>
      </c>
      <c r="L187">
        <v>5</v>
      </c>
      <c r="M187">
        <v>2025</v>
      </c>
      <c r="N187" s="1" t="s">
        <v>430</v>
      </c>
      <c r="O187">
        <v>2</v>
      </c>
    </row>
    <row r="188" spans="1:15">
      <c r="B188" t="s">
        <v>269</v>
      </c>
      <c r="D188" t="s">
        <v>222</v>
      </c>
      <c r="E188" s="1" t="s">
        <v>422</v>
      </c>
      <c r="F188" s="1">
        <v>71.989999999999995</v>
      </c>
      <c r="G188" t="s">
        <v>58</v>
      </c>
      <c r="I188" s="2">
        <v>45797</v>
      </c>
      <c r="J188" s="2">
        <v>45799</v>
      </c>
      <c r="K188">
        <v>20</v>
      </c>
      <c r="L188">
        <v>5</v>
      </c>
      <c r="M188">
        <v>2025</v>
      </c>
      <c r="N188" s="1" t="s">
        <v>430</v>
      </c>
      <c r="O188">
        <v>3</v>
      </c>
    </row>
    <row r="189" spans="1:15">
      <c r="A189" t="s">
        <v>397</v>
      </c>
      <c r="B189" t="s">
        <v>414</v>
      </c>
      <c r="C189" t="s">
        <v>178</v>
      </c>
      <c r="D189" t="s">
        <v>398</v>
      </c>
      <c r="E189" s="1"/>
      <c r="F189" s="1">
        <v>152</v>
      </c>
      <c r="G189" t="s">
        <v>20</v>
      </c>
      <c r="I189" s="2">
        <v>45798</v>
      </c>
      <c r="J189" s="2">
        <v>45798</v>
      </c>
      <c r="K189">
        <v>21</v>
      </c>
      <c r="L189">
        <v>5</v>
      </c>
      <c r="M189">
        <v>2025</v>
      </c>
      <c r="N189" s="1" t="s">
        <v>430</v>
      </c>
      <c r="O189">
        <v>2</v>
      </c>
    </row>
    <row r="190" spans="1:15">
      <c r="A190" t="s">
        <v>399</v>
      </c>
      <c r="B190" t="s">
        <v>414</v>
      </c>
      <c r="C190" t="s">
        <v>105</v>
      </c>
      <c r="D190" t="s">
        <v>400</v>
      </c>
      <c r="E190" s="1" t="s">
        <v>423</v>
      </c>
      <c r="F190" s="1">
        <v>358</v>
      </c>
      <c r="G190" t="s">
        <v>58</v>
      </c>
      <c r="H190" t="s">
        <v>401</v>
      </c>
      <c r="I190" s="2">
        <v>45798</v>
      </c>
      <c r="J190" s="2">
        <v>45798</v>
      </c>
      <c r="K190">
        <v>21</v>
      </c>
      <c r="L190">
        <v>5</v>
      </c>
      <c r="M190">
        <v>2025</v>
      </c>
      <c r="N190" s="1" t="s">
        <v>430</v>
      </c>
      <c r="O190">
        <v>2</v>
      </c>
    </row>
    <row r="191" spans="1:15">
      <c r="A191" t="s">
        <v>81</v>
      </c>
      <c r="B191" t="s">
        <v>413</v>
      </c>
      <c r="C191" t="s">
        <v>82</v>
      </c>
      <c r="D191" t="s">
        <v>402</v>
      </c>
      <c r="E191" s="1" t="s">
        <v>423</v>
      </c>
      <c r="F191" s="1">
        <v>106.49</v>
      </c>
      <c r="G191" t="s">
        <v>12</v>
      </c>
      <c r="I191" s="2">
        <v>45799</v>
      </c>
      <c r="J191" s="2">
        <v>45800</v>
      </c>
      <c r="K191">
        <v>22</v>
      </c>
      <c r="L191">
        <v>5</v>
      </c>
      <c r="M191">
        <v>2025</v>
      </c>
      <c r="N191" s="1" t="s">
        <v>430</v>
      </c>
      <c r="O191">
        <v>4</v>
      </c>
    </row>
    <row r="192" spans="1:15">
      <c r="B192" t="s">
        <v>413</v>
      </c>
      <c r="C192" t="s">
        <v>10</v>
      </c>
      <c r="D192" t="s">
        <v>118</v>
      </c>
      <c r="E192" s="1" t="s">
        <v>422</v>
      </c>
      <c r="F192" s="1">
        <v>8</v>
      </c>
      <c r="G192" t="s">
        <v>58</v>
      </c>
      <c r="H192" t="s">
        <v>403</v>
      </c>
      <c r="I192" s="2">
        <v>45799</v>
      </c>
      <c r="J192" s="2">
        <v>45799</v>
      </c>
      <c r="K192">
        <v>22</v>
      </c>
      <c r="L192">
        <v>5</v>
      </c>
      <c r="M192">
        <v>2025</v>
      </c>
      <c r="N192" s="1" t="s">
        <v>430</v>
      </c>
      <c r="O192">
        <v>3</v>
      </c>
    </row>
    <row r="193" spans="1:15">
      <c r="A193" t="s">
        <v>181</v>
      </c>
      <c r="B193" t="s">
        <v>218</v>
      </c>
      <c r="C193" t="s">
        <v>40</v>
      </c>
      <c r="D193" t="s">
        <v>182</v>
      </c>
      <c r="E193" s="1" t="s">
        <v>423</v>
      </c>
      <c r="F193" s="1">
        <v>11</v>
      </c>
      <c r="G193" t="s">
        <v>20</v>
      </c>
      <c r="H193" t="s">
        <v>404</v>
      </c>
      <c r="I193" s="2">
        <v>45799</v>
      </c>
      <c r="J193" s="2">
        <v>45801</v>
      </c>
      <c r="K193">
        <v>22</v>
      </c>
      <c r="L193">
        <v>5</v>
      </c>
      <c r="M193">
        <v>2025</v>
      </c>
      <c r="N193" s="1" t="s">
        <v>430</v>
      </c>
      <c r="O193">
        <v>5</v>
      </c>
    </row>
    <row r="194" spans="1:15">
      <c r="B194" t="s">
        <v>413</v>
      </c>
      <c r="D194" t="s">
        <v>120</v>
      </c>
      <c r="E194" s="1" t="s">
        <v>423</v>
      </c>
      <c r="F194" s="1">
        <v>153.56</v>
      </c>
      <c r="G194" t="s">
        <v>20</v>
      </c>
      <c r="I194" s="2">
        <v>45799</v>
      </c>
      <c r="J194" s="2">
        <v>45799</v>
      </c>
      <c r="K194">
        <v>22</v>
      </c>
      <c r="L194">
        <v>5</v>
      </c>
      <c r="M194">
        <v>2025</v>
      </c>
      <c r="N194" s="1" t="s">
        <v>430</v>
      </c>
      <c r="O194">
        <v>3</v>
      </c>
    </row>
    <row r="195" spans="1:15">
      <c r="A195" t="s">
        <v>301</v>
      </c>
      <c r="B195" t="s">
        <v>413</v>
      </c>
      <c r="D195" t="s">
        <v>184</v>
      </c>
      <c r="E195" s="1" t="s">
        <v>423</v>
      </c>
      <c r="F195" s="1">
        <v>140</v>
      </c>
      <c r="G195" t="s">
        <v>16</v>
      </c>
      <c r="I195" s="2">
        <v>45800</v>
      </c>
      <c r="J195" s="2">
        <v>45800</v>
      </c>
      <c r="K195">
        <v>23</v>
      </c>
      <c r="L195">
        <v>5</v>
      </c>
      <c r="M195">
        <v>2025</v>
      </c>
      <c r="N195" s="1" t="s">
        <v>430</v>
      </c>
      <c r="O195">
        <v>4</v>
      </c>
    </row>
    <row r="196" spans="1:15">
      <c r="A196" t="s">
        <v>96</v>
      </c>
      <c r="B196" t="s">
        <v>416</v>
      </c>
      <c r="C196" t="s">
        <v>125</v>
      </c>
      <c r="D196" t="s">
        <v>405</v>
      </c>
      <c r="E196" s="1" t="s">
        <v>422</v>
      </c>
      <c r="F196" s="1">
        <v>40</v>
      </c>
      <c r="G196" t="s">
        <v>20</v>
      </c>
      <c r="I196" s="2">
        <v>45801</v>
      </c>
      <c r="J196" s="2">
        <v>45801</v>
      </c>
      <c r="K196">
        <v>24</v>
      </c>
      <c r="L196">
        <v>5</v>
      </c>
      <c r="M196">
        <v>2025</v>
      </c>
      <c r="N196" s="1" t="s">
        <v>430</v>
      </c>
      <c r="O196">
        <v>5</v>
      </c>
    </row>
    <row r="197" spans="1:15">
      <c r="A197" t="s">
        <v>301</v>
      </c>
      <c r="B197" t="s">
        <v>413</v>
      </c>
      <c r="C197" t="s">
        <v>82</v>
      </c>
      <c r="D197" t="s">
        <v>184</v>
      </c>
      <c r="E197" s="1" t="s">
        <v>423</v>
      </c>
      <c r="F197" s="1">
        <v>76</v>
      </c>
      <c r="G197" t="s">
        <v>58</v>
      </c>
      <c r="H197" t="s">
        <v>406</v>
      </c>
      <c r="I197" s="2">
        <v>45803</v>
      </c>
      <c r="J197" s="2">
        <v>45803</v>
      </c>
      <c r="K197">
        <v>26</v>
      </c>
      <c r="L197">
        <v>5</v>
      </c>
      <c r="M197">
        <v>2025</v>
      </c>
      <c r="N197" s="1" t="s">
        <v>430</v>
      </c>
      <c r="O197">
        <v>0</v>
      </c>
    </row>
    <row r="198" spans="1:15">
      <c r="A198" t="s">
        <v>341</v>
      </c>
      <c r="B198" t="s">
        <v>416</v>
      </c>
      <c r="C198" t="s">
        <v>125</v>
      </c>
      <c r="D198" t="s">
        <v>407</v>
      </c>
      <c r="E198" s="1" t="s">
        <v>423</v>
      </c>
      <c r="F198" s="1">
        <v>54.99</v>
      </c>
      <c r="G198" t="s">
        <v>16</v>
      </c>
      <c r="H198" t="s">
        <v>408</v>
      </c>
      <c r="I198" s="2">
        <v>45805</v>
      </c>
      <c r="J198" s="2">
        <v>45807</v>
      </c>
      <c r="K198">
        <v>28</v>
      </c>
      <c r="L198">
        <v>5</v>
      </c>
      <c r="M198">
        <v>2025</v>
      </c>
      <c r="N198" s="1" t="s">
        <v>430</v>
      </c>
      <c r="O198">
        <v>4</v>
      </c>
    </row>
    <row r="199" spans="1:15">
      <c r="A199" t="s">
        <v>323</v>
      </c>
      <c r="B199" t="s">
        <v>218</v>
      </c>
      <c r="C199" t="s">
        <v>170</v>
      </c>
      <c r="D199" t="s">
        <v>327</v>
      </c>
      <c r="E199" s="1" t="s">
        <v>423</v>
      </c>
      <c r="F199" s="1">
        <v>505.5</v>
      </c>
      <c r="G199" t="s">
        <v>95</v>
      </c>
      <c r="H199" t="s">
        <v>409</v>
      </c>
      <c r="I199" s="2">
        <v>45805</v>
      </c>
      <c r="J199" s="2">
        <v>45806</v>
      </c>
      <c r="K199">
        <v>28</v>
      </c>
      <c r="L199">
        <v>5</v>
      </c>
      <c r="M199">
        <v>2025</v>
      </c>
      <c r="N199" s="1" t="s">
        <v>430</v>
      </c>
      <c r="O199">
        <v>3</v>
      </c>
    </row>
    <row r="200" spans="1:15">
      <c r="A200" t="s">
        <v>129</v>
      </c>
      <c r="B200" t="s">
        <v>413</v>
      </c>
      <c r="C200" t="s">
        <v>83</v>
      </c>
      <c r="D200" t="s">
        <v>410</v>
      </c>
      <c r="E200" s="1" t="s">
        <v>422</v>
      </c>
      <c r="F200" s="1">
        <v>167.5</v>
      </c>
      <c r="G200" t="s">
        <v>20</v>
      </c>
      <c r="H200" t="s">
        <v>411</v>
      </c>
      <c r="I200" s="2">
        <v>45808</v>
      </c>
      <c r="J200" s="2">
        <v>45810</v>
      </c>
      <c r="K200">
        <v>31</v>
      </c>
      <c r="L200">
        <v>5</v>
      </c>
      <c r="M200">
        <v>2025</v>
      </c>
      <c r="N200" s="1" t="s">
        <v>430</v>
      </c>
      <c r="O20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BA51-2566-4B49-8AFD-3618550FE0B8}">
  <dimension ref="A3:G89"/>
  <sheetViews>
    <sheetView tabSelected="1" topLeftCell="A9" workbookViewId="0">
      <selection activeCell="M15" sqref="M15"/>
    </sheetView>
  </sheetViews>
  <sheetFormatPr baseColWidth="10" defaultRowHeight="13.8"/>
  <cols>
    <col min="1" max="1" width="12" bestFit="1" customWidth="1"/>
    <col min="2" max="2" width="13.09765625" bestFit="1" customWidth="1"/>
    <col min="3" max="6" width="7.8984375" bestFit="1" customWidth="1"/>
    <col min="7" max="8" width="10.3984375" bestFit="1" customWidth="1"/>
    <col min="9" max="9" width="7.8984375" bestFit="1" customWidth="1"/>
    <col min="10" max="10" width="9.296875" bestFit="1" customWidth="1"/>
    <col min="11" max="11" width="7.8984375" bestFit="1" customWidth="1"/>
    <col min="12" max="12" width="10.3984375" bestFit="1" customWidth="1"/>
  </cols>
  <sheetData>
    <row r="3" spans="1:2">
      <c r="A3" s="3" t="s">
        <v>1</v>
      </c>
      <c r="B3" t="s">
        <v>435</v>
      </c>
    </row>
    <row r="4" spans="1:2">
      <c r="A4" s="4" t="s">
        <v>418</v>
      </c>
      <c r="B4" s="1">
        <v>490.89</v>
      </c>
    </row>
    <row r="5" spans="1:2">
      <c r="A5" s="4" t="s">
        <v>415</v>
      </c>
      <c r="B5" s="1">
        <v>2658.8599999999997</v>
      </c>
    </row>
    <row r="6" spans="1:2">
      <c r="A6" s="4" t="s">
        <v>269</v>
      </c>
      <c r="B6" s="1">
        <v>2570.27</v>
      </c>
    </row>
    <row r="7" spans="1:2">
      <c r="A7" s="4" t="s">
        <v>413</v>
      </c>
      <c r="B7" s="1">
        <v>4403.4999999999964</v>
      </c>
    </row>
    <row r="8" spans="1:2">
      <c r="A8" s="4" t="s">
        <v>46</v>
      </c>
      <c r="B8" s="1">
        <v>674.43000000000006</v>
      </c>
    </row>
    <row r="9" spans="1:2">
      <c r="A9" s="4" t="s">
        <v>414</v>
      </c>
      <c r="B9" s="1">
        <v>2374.38</v>
      </c>
    </row>
    <row r="10" spans="1:2">
      <c r="A10" s="4" t="s">
        <v>416</v>
      </c>
      <c r="B10" s="1">
        <v>742.73</v>
      </c>
    </row>
    <row r="11" spans="1:2">
      <c r="A11" s="4" t="s">
        <v>417</v>
      </c>
      <c r="B11" s="1">
        <v>2295.9300000000003</v>
      </c>
    </row>
    <row r="12" spans="1:2">
      <c r="A12" s="4" t="s">
        <v>218</v>
      </c>
      <c r="B12" s="1">
        <v>7195.869999999999</v>
      </c>
    </row>
    <row r="13" spans="1:2">
      <c r="A13" s="4" t="s">
        <v>425</v>
      </c>
      <c r="B13" s="1">
        <v>23406.859999999997</v>
      </c>
    </row>
    <row r="21" spans="1:7">
      <c r="A21" s="3" t="s">
        <v>435</v>
      </c>
      <c r="B21" s="3" t="s">
        <v>432</v>
      </c>
    </row>
    <row r="22" spans="1:7">
      <c r="A22" s="3" t="s">
        <v>424</v>
      </c>
      <c r="B22" t="s">
        <v>426</v>
      </c>
      <c r="C22" t="s">
        <v>427</v>
      </c>
      <c r="D22" t="s">
        <v>428</v>
      </c>
      <c r="E22" t="s">
        <v>429</v>
      </c>
      <c r="F22" t="s">
        <v>430</v>
      </c>
      <c r="G22" t="s">
        <v>425</v>
      </c>
    </row>
    <row r="23" spans="1:7">
      <c r="A23" s="4" t="s">
        <v>418</v>
      </c>
      <c r="B23" s="1"/>
      <c r="C23" s="1">
        <v>163</v>
      </c>
      <c r="D23" s="1">
        <v>43</v>
      </c>
      <c r="E23" s="1">
        <v>75.95</v>
      </c>
      <c r="F23" s="1">
        <v>208.94</v>
      </c>
      <c r="G23" s="1">
        <v>490.89</v>
      </c>
    </row>
    <row r="24" spans="1:7">
      <c r="A24" s="4" t="s">
        <v>415</v>
      </c>
      <c r="B24" s="1">
        <v>727.92000000000007</v>
      </c>
      <c r="C24" s="1">
        <v>960.5</v>
      </c>
      <c r="D24" s="1">
        <v>359</v>
      </c>
      <c r="E24" s="1">
        <v>167.95</v>
      </c>
      <c r="F24" s="1">
        <v>443.49</v>
      </c>
      <c r="G24" s="1">
        <v>2658.8599999999997</v>
      </c>
    </row>
    <row r="25" spans="1:7">
      <c r="A25" s="4" t="s">
        <v>269</v>
      </c>
      <c r="B25" s="1">
        <v>463.97</v>
      </c>
      <c r="C25" s="1">
        <v>527.94000000000005</v>
      </c>
      <c r="D25" s="1">
        <v>694</v>
      </c>
      <c r="E25" s="1">
        <v>520.95000000000005</v>
      </c>
      <c r="F25" s="1">
        <v>363.41</v>
      </c>
      <c r="G25" s="1">
        <v>2570.27</v>
      </c>
    </row>
    <row r="26" spans="1:7">
      <c r="A26" s="4" t="s">
        <v>413</v>
      </c>
      <c r="B26" s="1">
        <v>1298.8600000000001</v>
      </c>
      <c r="C26" s="1">
        <v>1245.3400000000001</v>
      </c>
      <c r="D26" s="1">
        <v>367.87</v>
      </c>
      <c r="E26" s="1">
        <v>418.61</v>
      </c>
      <c r="F26" s="1">
        <v>1072.82</v>
      </c>
      <c r="G26" s="1">
        <v>4403.5</v>
      </c>
    </row>
    <row r="27" spans="1:7">
      <c r="A27" s="4" t="s">
        <v>46</v>
      </c>
      <c r="B27" s="1">
        <v>242.44</v>
      </c>
      <c r="C27" s="1">
        <v>124</v>
      </c>
      <c r="D27" s="1">
        <v>286.99</v>
      </c>
      <c r="E27" s="1">
        <v>21</v>
      </c>
      <c r="F27" s="1"/>
      <c r="G27" s="1">
        <v>674.43000000000006</v>
      </c>
    </row>
    <row r="28" spans="1:7">
      <c r="A28" s="4" t="s">
        <v>414</v>
      </c>
      <c r="B28" s="1">
        <v>235</v>
      </c>
      <c r="C28" s="1">
        <v>700.43000000000006</v>
      </c>
      <c r="D28" s="1">
        <v>500.5</v>
      </c>
      <c r="E28" s="1">
        <v>395.5</v>
      </c>
      <c r="F28" s="1">
        <v>542.95000000000005</v>
      </c>
      <c r="G28" s="1">
        <v>2374.38</v>
      </c>
    </row>
    <row r="29" spans="1:7">
      <c r="A29" s="4" t="s">
        <v>416</v>
      </c>
      <c r="B29" s="1">
        <v>78</v>
      </c>
      <c r="C29" s="1">
        <v>244.49</v>
      </c>
      <c r="D29" s="1">
        <v>325.25</v>
      </c>
      <c r="E29" s="1"/>
      <c r="F29" s="1">
        <v>94.990000000000009</v>
      </c>
      <c r="G29" s="1">
        <v>742.73</v>
      </c>
    </row>
    <row r="30" spans="1:7">
      <c r="A30" s="4" t="s">
        <v>417</v>
      </c>
      <c r="B30" s="1">
        <v>707.49</v>
      </c>
      <c r="C30" s="1">
        <v>296.95</v>
      </c>
      <c r="D30" s="1">
        <v>315.5</v>
      </c>
      <c r="E30" s="1">
        <v>502</v>
      </c>
      <c r="F30" s="1">
        <v>473.99</v>
      </c>
      <c r="G30" s="1">
        <v>2295.9300000000003</v>
      </c>
    </row>
    <row r="31" spans="1:7">
      <c r="A31" s="4" t="s">
        <v>218</v>
      </c>
      <c r="B31" s="1">
        <v>1091.3699999999999</v>
      </c>
      <c r="C31" s="1">
        <v>996.01000000000022</v>
      </c>
      <c r="D31" s="1">
        <v>201.44</v>
      </c>
      <c r="E31" s="1">
        <v>3271.9299999999994</v>
      </c>
      <c r="F31" s="1">
        <v>1635.1200000000001</v>
      </c>
      <c r="G31" s="1">
        <v>7195.87</v>
      </c>
    </row>
    <row r="32" spans="1:7">
      <c r="A32" s="4" t="s">
        <v>425</v>
      </c>
      <c r="B32" s="1">
        <v>4845.05</v>
      </c>
      <c r="C32" s="1">
        <v>5258.66</v>
      </c>
      <c r="D32" s="1">
        <v>3093.5499999999997</v>
      </c>
      <c r="E32" s="1">
        <v>5373.8899999999994</v>
      </c>
      <c r="F32" s="1">
        <v>4835.7099999999991</v>
      </c>
      <c r="G32" s="1">
        <v>23406.86</v>
      </c>
    </row>
    <row r="37" spans="1:3">
      <c r="A37" s="3" t="s">
        <v>424</v>
      </c>
      <c r="B37" t="s">
        <v>433</v>
      </c>
      <c r="C37" t="s">
        <v>434</v>
      </c>
    </row>
    <row r="38" spans="1:3">
      <c r="A38" s="4" t="s">
        <v>95</v>
      </c>
      <c r="B38" s="1">
        <v>27</v>
      </c>
      <c r="C38" s="1">
        <v>3068.87</v>
      </c>
    </row>
    <row r="39" spans="1:3">
      <c r="A39" s="4" t="s">
        <v>12</v>
      </c>
      <c r="B39" s="1">
        <v>27</v>
      </c>
      <c r="C39" s="1">
        <v>3113.74</v>
      </c>
    </row>
    <row r="40" spans="1:3">
      <c r="A40" s="4" t="s">
        <v>58</v>
      </c>
      <c r="B40" s="1">
        <v>43</v>
      </c>
      <c r="C40" s="1">
        <v>7350.2799999999979</v>
      </c>
    </row>
    <row r="41" spans="1:3">
      <c r="A41" s="4" t="s">
        <v>16</v>
      </c>
      <c r="B41" s="1">
        <v>32</v>
      </c>
      <c r="C41" s="1">
        <v>2425.4399999999996</v>
      </c>
    </row>
    <row r="42" spans="1:3">
      <c r="A42" s="4" t="s">
        <v>20</v>
      </c>
      <c r="B42" s="1">
        <v>70</v>
      </c>
      <c r="C42" s="1">
        <v>7448.5299999999979</v>
      </c>
    </row>
    <row r="43" spans="1:3">
      <c r="A43" s="4" t="s">
        <v>437</v>
      </c>
      <c r="B43" s="1">
        <v>199</v>
      </c>
      <c r="C43" s="1">
        <v>23406.860000000026</v>
      </c>
    </row>
    <row r="81" spans="1:2">
      <c r="A81" s="3" t="s">
        <v>424</v>
      </c>
      <c r="B81" t="s">
        <v>435</v>
      </c>
    </row>
    <row r="82" spans="1:2">
      <c r="A82" s="4">
        <v>0</v>
      </c>
      <c r="B82" s="1">
        <v>3637.2599999999993</v>
      </c>
    </row>
    <row r="83" spans="1:2">
      <c r="A83" s="4">
        <v>1</v>
      </c>
      <c r="B83" s="1">
        <v>2335.85</v>
      </c>
    </row>
    <row r="84" spans="1:2">
      <c r="A84" s="4">
        <v>2</v>
      </c>
      <c r="B84" s="1">
        <v>3268.3499999999995</v>
      </c>
    </row>
    <row r="85" spans="1:2">
      <c r="A85" s="4">
        <v>3</v>
      </c>
      <c r="B85" s="1">
        <v>3185.1099999999988</v>
      </c>
    </row>
    <row r="86" spans="1:2">
      <c r="A86" s="4">
        <v>4</v>
      </c>
      <c r="B86" s="1">
        <v>2414.9299999999994</v>
      </c>
    </row>
    <row r="87" spans="1:2">
      <c r="A87" s="4">
        <v>5</v>
      </c>
      <c r="B87" s="1">
        <v>4000.5999999999995</v>
      </c>
    </row>
    <row r="88" spans="1:2">
      <c r="A88" s="4">
        <v>6</v>
      </c>
      <c r="B88" s="1">
        <v>4564.7599999999984</v>
      </c>
    </row>
    <row r="89" spans="1:2">
      <c r="A89" s="4" t="s">
        <v>425</v>
      </c>
      <c r="B89" s="1">
        <v>23406.859999999993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8A3E-A2CE-459E-89F5-5FC1BABDA850}">
  <dimension ref="A3:B9"/>
  <sheetViews>
    <sheetView workbookViewId="0">
      <selection activeCell="B3" sqref="B3"/>
    </sheetView>
  </sheetViews>
  <sheetFormatPr baseColWidth="10" defaultRowHeight="13.8"/>
  <cols>
    <col min="1" max="1" width="17.5" bestFit="1" customWidth="1"/>
    <col min="2" max="2" width="13.09765625" bestFit="1" customWidth="1"/>
  </cols>
  <sheetData>
    <row r="3" spans="1:2">
      <c r="A3" s="3" t="s">
        <v>424</v>
      </c>
      <c r="B3" t="s">
        <v>435</v>
      </c>
    </row>
    <row r="4" spans="1:2">
      <c r="A4" s="4" t="s">
        <v>428</v>
      </c>
      <c r="B4" s="1">
        <v>3093.5499999999993</v>
      </c>
    </row>
    <row r="5" spans="1:2">
      <c r="A5" s="4" t="s">
        <v>427</v>
      </c>
      <c r="B5" s="1">
        <v>5258.659999999998</v>
      </c>
    </row>
    <row r="6" spans="1:2">
      <c r="A6" s="4" t="s">
        <v>429</v>
      </c>
      <c r="B6" s="1">
        <v>5373.8899999999985</v>
      </c>
    </row>
    <row r="7" spans="1:2">
      <c r="A7" s="4" t="s">
        <v>426</v>
      </c>
      <c r="B7" s="1">
        <v>4845.0499999999984</v>
      </c>
    </row>
    <row r="8" spans="1:2">
      <c r="A8" s="4" t="s">
        <v>430</v>
      </c>
      <c r="B8" s="1">
        <v>4835.7099999999991</v>
      </c>
    </row>
    <row r="9" spans="1:2">
      <c r="A9" s="4" t="s">
        <v>425</v>
      </c>
      <c r="B9" s="1">
        <v>23406.859999999993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1235-A408-48CF-90FA-1F7901921744}">
  <dimension ref="A1:B41"/>
  <sheetViews>
    <sheetView workbookViewId="0">
      <selection activeCell="E28" sqref="E28"/>
    </sheetView>
  </sheetViews>
  <sheetFormatPr baseColWidth="10" defaultRowHeight="13.8"/>
  <cols>
    <col min="1" max="1" width="20.8984375" bestFit="1" customWidth="1"/>
    <col min="2" max="2" width="16.3984375" bestFit="1" customWidth="1"/>
  </cols>
  <sheetData>
    <row r="1" spans="1:2">
      <c r="A1" t="s">
        <v>1</v>
      </c>
      <c r="B1" t="s">
        <v>412</v>
      </c>
    </row>
    <row r="2" spans="1:2">
      <c r="A2" t="s">
        <v>10</v>
      </c>
      <c r="B2" t="s">
        <v>413</v>
      </c>
    </row>
    <row r="3" spans="1:2">
      <c r="A3" t="s">
        <v>15</v>
      </c>
      <c r="B3" t="s">
        <v>218</v>
      </c>
    </row>
    <row r="4" spans="1:2">
      <c r="A4" t="s">
        <v>17</v>
      </c>
      <c r="B4" t="s">
        <v>414</v>
      </c>
    </row>
    <row r="5" spans="1:2">
      <c r="A5" t="s">
        <v>21</v>
      </c>
      <c r="B5" t="s">
        <v>413</v>
      </c>
    </row>
    <row r="6" spans="1:2">
      <c r="A6" t="s">
        <v>26</v>
      </c>
      <c r="B6" t="s">
        <v>413</v>
      </c>
    </row>
    <row r="7" spans="1:2">
      <c r="A7" t="s">
        <v>32</v>
      </c>
      <c r="B7" t="s">
        <v>413</v>
      </c>
    </row>
    <row r="8" spans="1:2">
      <c r="A8" t="s">
        <v>39</v>
      </c>
      <c r="B8" t="s">
        <v>218</v>
      </c>
    </row>
    <row r="9" spans="1:2">
      <c r="A9" t="s">
        <v>42</v>
      </c>
      <c r="B9" t="s">
        <v>413</v>
      </c>
    </row>
    <row r="10" spans="1:2">
      <c r="A10" t="s">
        <v>46</v>
      </c>
      <c r="B10" t="s">
        <v>46</v>
      </c>
    </row>
    <row r="11" spans="1:2">
      <c r="A11" t="s">
        <v>51</v>
      </c>
      <c r="B11" t="s">
        <v>413</v>
      </c>
    </row>
    <row r="12" spans="1:2">
      <c r="A12" t="s">
        <v>55</v>
      </c>
      <c r="B12" t="s">
        <v>218</v>
      </c>
    </row>
    <row r="13" spans="1:2">
      <c r="A13" t="s">
        <v>65</v>
      </c>
      <c r="B13" t="s">
        <v>413</v>
      </c>
    </row>
    <row r="14" spans="1:2">
      <c r="A14" t="s">
        <v>75</v>
      </c>
      <c r="B14" t="s">
        <v>218</v>
      </c>
    </row>
    <row r="15" spans="1:2">
      <c r="A15" t="s">
        <v>88</v>
      </c>
      <c r="B15" t="s">
        <v>415</v>
      </c>
    </row>
    <row r="16" spans="1:2">
      <c r="A16" t="s">
        <v>92</v>
      </c>
      <c r="B16" t="s">
        <v>269</v>
      </c>
    </row>
    <row r="17" spans="1:2">
      <c r="A17" t="s">
        <v>97</v>
      </c>
      <c r="B17" t="s">
        <v>416</v>
      </c>
    </row>
    <row r="18" spans="1:2">
      <c r="A18" t="s">
        <v>101</v>
      </c>
      <c r="B18" t="s">
        <v>415</v>
      </c>
    </row>
    <row r="19" spans="1:2">
      <c r="A19" t="s">
        <v>106</v>
      </c>
      <c r="B19" t="s">
        <v>413</v>
      </c>
    </row>
    <row r="20" spans="1:2">
      <c r="A20" t="s">
        <v>112</v>
      </c>
      <c r="B20" t="s">
        <v>413</v>
      </c>
    </row>
    <row r="21" spans="1:2">
      <c r="A21" t="s">
        <v>115</v>
      </c>
      <c r="B21" t="s">
        <v>413</v>
      </c>
    </row>
    <row r="22" spans="1:2">
      <c r="A22" t="s">
        <v>121</v>
      </c>
      <c r="B22" t="s">
        <v>269</v>
      </c>
    </row>
    <row r="23" spans="1:2">
      <c r="A23" t="s">
        <v>124</v>
      </c>
      <c r="B23" t="s">
        <v>415</v>
      </c>
    </row>
    <row r="24" spans="1:2">
      <c r="A24" t="s">
        <v>134</v>
      </c>
      <c r="B24" t="s">
        <v>46</v>
      </c>
    </row>
    <row r="25" spans="1:2">
      <c r="A25" t="s">
        <v>136</v>
      </c>
      <c r="B25" t="s">
        <v>417</v>
      </c>
    </row>
    <row r="26" spans="1:2">
      <c r="A26" t="s">
        <v>143</v>
      </c>
      <c r="B26" t="s">
        <v>218</v>
      </c>
    </row>
    <row r="27" spans="1:2">
      <c r="A27" t="s">
        <v>164</v>
      </c>
      <c r="B27" t="s">
        <v>413</v>
      </c>
    </row>
    <row r="28" spans="1:2">
      <c r="A28" t="s">
        <v>169</v>
      </c>
      <c r="B28" t="s">
        <v>218</v>
      </c>
    </row>
    <row r="29" spans="1:2">
      <c r="A29" t="s">
        <v>175</v>
      </c>
      <c r="B29" t="s">
        <v>269</v>
      </c>
    </row>
    <row r="30" spans="1:2">
      <c r="A30" t="s">
        <v>188</v>
      </c>
      <c r="B30" t="s">
        <v>414</v>
      </c>
    </row>
    <row r="31" spans="1:2">
      <c r="A31">
        <v>0</v>
      </c>
      <c r="B31">
        <v>0</v>
      </c>
    </row>
    <row r="32" spans="1:2">
      <c r="A32" t="s">
        <v>198</v>
      </c>
      <c r="B32" t="s">
        <v>415</v>
      </c>
    </row>
    <row r="33" spans="1:2">
      <c r="A33" t="s">
        <v>202</v>
      </c>
      <c r="B33" t="s">
        <v>418</v>
      </c>
    </row>
    <row r="34" spans="1:2">
      <c r="A34" t="s">
        <v>206</v>
      </c>
      <c r="B34" t="s">
        <v>417</v>
      </c>
    </row>
    <row r="35" spans="1:2">
      <c r="A35" t="s">
        <v>221</v>
      </c>
      <c r="B35" t="s">
        <v>269</v>
      </c>
    </row>
    <row r="36" spans="1:2">
      <c r="A36" t="s">
        <v>224</v>
      </c>
      <c r="B36" t="s">
        <v>414</v>
      </c>
    </row>
    <row r="37" spans="1:2">
      <c r="A37" t="s">
        <v>229</v>
      </c>
      <c r="B37" t="s">
        <v>413</v>
      </c>
    </row>
    <row r="38" spans="1:2">
      <c r="A38" t="s">
        <v>244</v>
      </c>
      <c r="B38" t="s">
        <v>418</v>
      </c>
    </row>
    <row r="39" spans="1:2">
      <c r="A39" t="s">
        <v>284</v>
      </c>
      <c r="B39" t="s">
        <v>416</v>
      </c>
    </row>
    <row r="40" spans="1:2">
      <c r="A40" t="s">
        <v>293</v>
      </c>
      <c r="B40" t="s">
        <v>418</v>
      </c>
    </row>
    <row r="41" spans="1:2">
      <c r="A41" t="s">
        <v>310</v>
      </c>
      <c r="B41" t="s">
        <v>417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CCB1-B8C8-4CA9-95C2-DDA6DE7AF30F}">
  <dimension ref="A1:E41"/>
  <sheetViews>
    <sheetView workbookViewId="0">
      <selection activeCell="G1" sqref="G1"/>
    </sheetView>
  </sheetViews>
  <sheetFormatPr baseColWidth="10" defaultRowHeight="13.8"/>
  <cols>
    <col min="1" max="1" width="14.59765625" customWidth="1"/>
    <col min="2" max="2" width="23.3984375" customWidth="1"/>
    <col min="5" max="5" width="16.09765625" customWidth="1"/>
  </cols>
  <sheetData>
    <row r="1" spans="1:5">
      <c r="A1" t="str" cm="1">
        <f t="array" ref="A1:A11">_xlfn.UNIQUE('power-query'!B:B)</f>
        <v>Category</v>
      </c>
      <c r="B1" t="s">
        <v>412</v>
      </c>
      <c r="D1" t="s">
        <v>1</v>
      </c>
      <c r="E1" t="s">
        <v>412</v>
      </c>
    </row>
    <row r="2" spans="1:5">
      <c r="A2" t="str">
        <v>Food</v>
      </c>
      <c r="B2" t="s">
        <v>413</v>
      </c>
      <c r="D2" t="s">
        <v>10</v>
      </c>
      <c r="E2" t="s">
        <v>413</v>
      </c>
    </row>
    <row r="3" spans="1:5">
      <c r="A3" t="str">
        <v>Transport</v>
      </c>
      <c r="B3" t="s">
        <v>218</v>
      </c>
      <c r="D3" t="s">
        <v>15</v>
      </c>
      <c r="E3" t="s">
        <v>218</v>
      </c>
    </row>
    <row r="4" spans="1:5">
      <c r="A4" t="str">
        <v>Shopping</v>
      </c>
      <c r="B4" t="s">
        <v>414</v>
      </c>
      <c r="D4" t="s">
        <v>17</v>
      </c>
      <c r="E4" t="s">
        <v>414</v>
      </c>
    </row>
    <row r="5" spans="1:5">
      <c r="A5" t="str">
        <v>Health</v>
      </c>
      <c r="B5" t="s">
        <v>413</v>
      </c>
      <c r="D5" t="s">
        <v>21</v>
      </c>
      <c r="E5" t="s">
        <v>413</v>
      </c>
    </row>
    <row r="6" spans="1:5">
      <c r="A6" t="str">
        <v>Bill</v>
      </c>
      <c r="B6" t="s">
        <v>413</v>
      </c>
      <c r="D6" t="s">
        <v>26</v>
      </c>
      <c r="E6" t="s">
        <v>413</v>
      </c>
    </row>
    <row r="7" spans="1:5">
      <c r="A7" t="str">
        <v>Entertainment</v>
      </c>
      <c r="B7" t="s">
        <v>413</v>
      </c>
      <c r="D7" t="s">
        <v>32</v>
      </c>
      <c r="E7" t="s">
        <v>413</v>
      </c>
    </row>
    <row r="8" spans="1:5">
      <c r="A8" t="str">
        <v>Sport</v>
      </c>
      <c r="B8" t="s">
        <v>218</v>
      </c>
      <c r="D8" t="s">
        <v>39</v>
      </c>
      <c r="E8" t="s">
        <v>218</v>
      </c>
    </row>
    <row r="9" spans="1:5">
      <c r="A9" t="str">
        <v>Studies</v>
      </c>
      <c r="B9" t="s">
        <v>413</v>
      </c>
      <c r="D9" t="s">
        <v>42</v>
      </c>
      <c r="E9" t="s">
        <v>413</v>
      </c>
    </row>
    <row r="10" spans="1:5">
      <c r="A10" t="str">
        <v>Beauty</v>
      </c>
      <c r="B10" t="s">
        <v>46</v>
      </c>
      <c r="D10" t="s">
        <v>46</v>
      </c>
      <c r="E10" t="s">
        <v>46</v>
      </c>
    </row>
    <row r="11" spans="1:5">
      <c r="A11">
        <v>0</v>
      </c>
      <c r="B11" t="s">
        <v>413</v>
      </c>
      <c r="D11" t="s">
        <v>51</v>
      </c>
      <c r="E11" t="s">
        <v>413</v>
      </c>
    </row>
    <row r="12" spans="1:5">
      <c r="B12" t="s">
        <v>218</v>
      </c>
      <c r="D12" t="s">
        <v>55</v>
      </c>
      <c r="E12" t="s">
        <v>218</v>
      </c>
    </row>
    <row r="13" spans="1:5">
      <c r="B13" t="s">
        <v>413</v>
      </c>
      <c r="D13" t="s">
        <v>65</v>
      </c>
      <c r="E13" t="s">
        <v>413</v>
      </c>
    </row>
    <row r="14" spans="1:5">
      <c r="B14" t="s">
        <v>218</v>
      </c>
      <c r="D14" t="s">
        <v>75</v>
      </c>
      <c r="E14" t="s">
        <v>218</v>
      </c>
    </row>
    <row r="15" spans="1:5">
      <c r="B15" t="s">
        <v>415</v>
      </c>
      <c r="D15" t="s">
        <v>88</v>
      </c>
      <c r="E15" t="s">
        <v>415</v>
      </c>
    </row>
    <row r="16" spans="1:5">
      <c r="B16" t="s">
        <v>269</v>
      </c>
      <c r="D16" t="s">
        <v>92</v>
      </c>
      <c r="E16" t="s">
        <v>269</v>
      </c>
    </row>
    <row r="17" spans="2:5">
      <c r="B17" t="s">
        <v>416</v>
      </c>
      <c r="D17" t="s">
        <v>97</v>
      </c>
      <c r="E17" t="s">
        <v>416</v>
      </c>
    </row>
    <row r="18" spans="2:5">
      <c r="B18" t="s">
        <v>415</v>
      </c>
      <c r="D18" t="s">
        <v>101</v>
      </c>
      <c r="E18" t="s">
        <v>415</v>
      </c>
    </row>
    <row r="19" spans="2:5">
      <c r="B19" t="s">
        <v>413</v>
      </c>
      <c r="D19" t="s">
        <v>106</v>
      </c>
      <c r="E19" t="s">
        <v>413</v>
      </c>
    </row>
    <row r="20" spans="2:5">
      <c r="B20" t="s">
        <v>413</v>
      </c>
      <c r="D20" t="s">
        <v>112</v>
      </c>
      <c r="E20" t="s">
        <v>413</v>
      </c>
    </row>
    <row r="21" spans="2:5">
      <c r="B21" t="s">
        <v>413</v>
      </c>
      <c r="D21" t="s">
        <v>115</v>
      </c>
      <c r="E21" t="s">
        <v>413</v>
      </c>
    </row>
    <row r="22" spans="2:5">
      <c r="B22" t="s">
        <v>269</v>
      </c>
      <c r="D22" t="s">
        <v>121</v>
      </c>
      <c r="E22" t="s">
        <v>269</v>
      </c>
    </row>
    <row r="23" spans="2:5">
      <c r="B23" t="s">
        <v>415</v>
      </c>
      <c r="D23" t="s">
        <v>124</v>
      </c>
      <c r="E23" t="s">
        <v>415</v>
      </c>
    </row>
    <row r="24" spans="2:5">
      <c r="B24" t="s">
        <v>46</v>
      </c>
      <c r="D24" t="s">
        <v>134</v>
      </c>
      <c r="E24" t="s">
        <v>46</v>
      </c>
    </row>
    <row r="25" spans="2:5">
      <c r="B25" t="s">
        <v>417</v>
      </c>
      <c r="D25" t="s">
        <v>136</v>
      </c>
      <c r="E25" t="s">
        <v>417</v>
      </c>
    </row>
    <row r="26" spans="2:5">
      <c r="B26" t="s">
        <v>218</v>
      </c>
      <c r="D26" t="s">
        <v>143</v>
      </c>
      <c r="E26" t="s">
        <v>218</v>
      </c>
    </row>
    <row r="27" spans="2:5">
      <c r="B27" t="s">
        <v>413</v>
      </c>
      <c r="D27" t="s">
        <v>164</v>
      </c>
      <c r="E27" t="s">
        <v>413</v>
      </c>
    </row>
    <row r="28" spans="2:5">
      <c r="B28" t="s">
        <v>218</v>
      </c>
      <c r="D28" t="s">
        <v>169</v>
      </c>
      <c r="E28" t="s">
        <v>218</v>
      </c>
    </row>
    <row r="29" spans="2:5">
      <c r="B29" t="s">
        <v>269</v>
      </c>
      <c r="D29" t="s">
        <v>175</v>
      </c>
      <c r="E29" t="s">
        <v>269</v>
      </c>
    </row>
    <row r="30" spans="2:5">
      <c r="B30" t="s">
        <v>414</v>
      </c>
      <c r="D30" t="s">
        <v>188</v>
      </c>
      <c r="E30" t="s">
        <v>414</v>
      </c>
    </row>
    <row r="31" spans="2:5">
      <c r="B31">
        <v>0</v>
      </c>
      <c r="D31">
        <v>0</v>
      </c>
      <c r="E31">
        <v>0</v>
      </c>
    </row>
    <row r="32" spans="2:5">
      <c r="B32" t="s">
        <v>415</v>
      </c>
      <c r="D32" t="s">
        <v>198</v>
      </c>
      <c r="E32" t="s">
        <v>415</v>
      </c>
    </row>
    <row r="33" spans="2:5">
      <c r="B33" t="s">
        <v>418</v>
      </c>
      <c r="D33" t="s">
        <v>202</v>
      </c>
      <c r="E33" t="s">
        <v>418</v>
      </c>
    </row>
    <row r="34" spans="2:5">
      <c r="B34" t="s">
        <v>417</v>
      </c>
      <c r="D34" t="s">
        <v>206</v>
      </c>
      <c r="E34" t="s">
        <v>417</v>
      </c>
    </row>
    <row r="35" spans="2:5">
      <c r="B35" t="s">
        <v>269</v>
      </c>
      <c r="D35" t="s">
        <v>221</v>
      </c>
      <c r="E35" t="s">
        <v>269</v>
      </c>
    </row>
    <row r="36" spans="2:5">
      <c r="B36" t="s">
        <v>414</v>
      </c>
      <c r="D36" t="s">
        <v>224</v>
      </c>
      <c r="E36" t="s">
        <v>414</v>
      </c>
    </row>
    <row r="37" spans="2:5">
      <c r="B37" t="s">
        <v>413</v>
      </c>
      <c r="D37" t="s">
        <v>229</v>
      </c>
      <c r="E37" t="s">
        <v>413</v>
      </c>
    </row>
    <row r="38" spans="2:5">
      <c r="B38" t="s">
        <v>418</v>
      </c>
      <c r="D38" t="s">
        <v>244</v>
      </c>
      <c r="E38" t="s">
        <v>418</v>
      </c>
    </row>
    <row r="39" spans="2:5">
      <c r="B39" t="s">
        <v>416</v>
      </c>
      <c r="D39" t="s">
        <v>284</v>
      </c>
      <c r="E39" t="s">
        <v>416</v>
      </c>
    </row>
    <row r="40" spans="2:5">
      <c r="B40" t="s">
        <v>418</v>
      </c>
      <c r="D40" t="s">
        <v>293</v>
      </c>
      <c r="E40" t="s">
        <v>418</v>
      </c>
    </row>
    <row r="41" spans="2:5">
      <c r="B41" t="s">
        <v>417</v>
      </c>
      <c r="D41" t="s">
        <v>310</v>
      </c>
      <c r="E41" t="s">
        <v>417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8D42C1-FA79-4DA4-B684-A7E4C529AB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power-query</vt:lpstr>
      <vt:lpstr>Category</vt:lpstr>
      <vt:lpstr>Monthly</vt:lpstr>
      <vt:lpstr>category-mapping-table</vt:lpstr>
      <vt:lpstr>category-mapping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MIR</dc:creator>
  <cp:lastModifiedBy>Nicolas Mir</cp:lastModifiedBy>
  <dcterms:created xsi:type="dcterms:W3CDTF">2026-05-18T20:51:46Z</dcterms:created>
  <dcterms:modified xsi:type="dcterms:W3CDTF">2026-05-19T00:25:47Z</dcterms:modified>
</cp:coreProperties>
</file>